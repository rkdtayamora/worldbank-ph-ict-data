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RK\Desktop\portfolio\worldbank-data\excel\"/>
    </mc:Choice>
  </mc:AlternateContent>
  <xr:revisionPtr revIDLastSave="0" documentId="13_ncr:1_{9E945187-D92F-4450-B928-57A464E84166}" xr6:coauthVersionLast="47" xr6:coauthVersionMax="47" xr10:uidLastSave="{00000000-0000-0000-0000-000000000000}"/>
  <bookViews>
    <workbookView xWindow="-120" yWindow="-120" windowWidth="29040" windowHeight="15720" xr2:uid="{647FF571-74DF-4D75-96A8-5BAEC73C1CE9}"/>
  </bookViews>
  <sheets>
    <sheet name="Raw_Data" sheetId="2" r:id="rId1"/>
    <sheet name="Data_Description" sheetId="9" r:id="rId2"/>
    <sheet name="About" sheetId="1" r:id="rId3"/>
    <sheet name="Screening_Rules" sheetId="3" r:id="rId4"/>
    <sheet name="Indicator_Screening" sheetId="4" r:id="rId5"/>
    <sheet name="Data_Dictionary" sheetId="5" r:id="rId6"/>
    <sheet name="Indicator_Dictionary" sheetId="6" r:id="rId7"/>
  </sheets>
  <definedNames>
    <definedName name="ExternalData_1" localSheetId="0" hidden="1">Raw_Data!$A$1:$AC$16</definedName>
    <definedName name="ExternalData_2" localSheetId="1" hidden="1">Data_Description!$A$1:$P$16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 i="6" l="1"/>
  <c r="C5" i="6"/>
  <c r="C6" i="6"/>
  <c r="C7" i="6"/>
  <c r="C8" i="6"/>
  <c r="C9" i="6"/>
  <c r="C10" i="6"/>
  <c r="F4" i="6" a="1"/>
  <c r="F5" i="6" a="1"/>
  <c r="F6" i="6" a="1"/>
  <c r="F7" i="6" a="1"/>
  <c r="F8" i="6" a="1"/>
  <c r="F9" i="6" a="1"/>
  <c r="F10" i="6" a="1"/>
  <c r="E4" i="6" a="1"/>
  <c r="A4" i="6" a="1"/>
  <c r="A5" i="6" a="1"/>
  <c r="A6" i="6" a="1"/>
  <c r="A7" i="6" a="1"/>
  <c r="E5" i="6" a="1"/>
  <c r="E6" i="6" a="1"/>
  <c r="E7" i="6" a="1"/>
  <c r="E8" i="6" a="1"/>
  <c r="E9" i="6" a="1"/>
  <c r="E10" i="6" a="1"/>
  <c r="C4" i="4" a="1"/>
  <c r="D8" i="5" a="1"/>
  <c r="D4" i="5" a="1"/>
  <c r="D5" i="5" a="1"/>
  <c r="D6" i="5" a="1"/>
  <c r="D7" i="5" a="1"/>
  <c r="C5" i="4" a="1"/>
  <c r="C6" i="4" a="1"/>
  <c r="C7" i="4" a="1"/>
  <c r="C8" i="4" a="1"/>
  <c r="C9" i="4" a="1"/>
  <c r="C10" i="4" a="1"/>
  <c r="C11" i="4" a="1"/>
  <c r="C12" i="4" a="1"/>
  <c r="C13" i="4" a="1"/>
  <c r="C14" i="4" a="1"/>
  <c r="C15" i="4" a="1"/>
  <c r="C16" i="4" a="1"/>
  <c r="C17" i="4" a="1"/>
  <c r="C18" i="4" a="1"/>
  <c r="D4" i="4" a="1"/>
  <c r="D5" i="4" a="1"/>
  <c r="D6" i="4" a="1"/>
  <c r="D7" i="4" a="1"/>
  <c r="D8" i="4" a="1"/>
  <c r="D9" i="4" a="1"/>
  <c r="D10" i="4" a="1"/>
  <c r="D11" i="4" a="1"/>
  <c r="D12" i="4" a="1"/>
  <c r="D13" i="4" a="1"/>
  <c r="D14" i="4" a="1"/>
  <c r="D15" i="4" a="1"/>
  <c r="D16" i="4" a="1"/>
  <c r="D17" i="4" a="1"/>
  <c r="D18" i="4" a="1"/>
  <c r="F4" i="4"/>
  <c r="E4" i="4"/>
  <c r="E5" i="4"/>
  <c r="E6" i="4"/>
  <c r="E7" i="4"/>
  <c r="E8" i="4"/>
  <c r="E9" i="4"/>
  <c r="E10" i="4"/>
  <c r="E11" i="4"/>
  <c r="E12" i="4"/>
  <c r="E13" i="4"/>
  <c r="E14" i="4"/>
  <c r="E15" i="4"/>
  <c r="E16" i="4"/>
  <c r="E17" i="4"/>
  <c r="E18" i="4"/>
  <c r="F5" i="4"/>
  <c r="F6" i="4"/>
  <c r="F7" i="4"/>
  <c r="F8" i="4"/>
  <c r="F9" i="4"/>
  <c r="F10" i="4"/>
  <c r="F11" i="4"/>
  <c r="F12" i="4"/>
  <c r="F13" i="4"/>
  <c r="F14" i="4"/>
  <c r="F15" i="4"/>
  <c r="F16" i="4"/>
  <c r="F17" i="4"/>
  <c r="F18" i="4"/>
  <c r="B5" i="4" a="1"/>
  <c r="B6" i="4" a="1"/>
  <c r="B7" i="4" a="1"/>
  <c r="B8" i="4" a="1"/>
  <c r="B9" i="4" a="1"/>
  <c r="B10" i="4" a="1"/>
  <c r="A8" i="6" s="1" a="1"/>
  <c r="B11" i="4" a="1"/>
  <c r="B12" i="4" a="1"/>
  <c r="B13" i="4" a="1"/>
  <c r="B14" i="4" a="1"/>
  <c r="B15" i="4" a="1"/>
  <c r="B16" i="4" a="1"/>
  <c r="B17" i="4" a="1"/>
  <c r="B18" i="4" a="1"/>
  <c r="B4" i="4" a="1"/>
  <c r="A10" i="6" l="1" a="1"/>
  <c r="B10" i="6" s="1"/>
  <c r="D10" i="6" s="1"/>
  <c r="A9" i="6" a="1"/>
  <c r="B9" i="6" s="1"/>
  <c r="D9" i="6" s="1"/>
  <c r="B4" i="6"/>
  <c r="D4" i="6" s="1"/>
  <c r="B7" i="6"/>
  <c r="D7" i="6" s="1"/>
  <c r="B5" i="6"/>
  <c r="D5" i="6" s="1"/>
  <c r="B6" i="6"/>
  <c r="D6" i="6" s="1"/>
  <c r="B8" i="6"/>
  <c r="D8" i="6" s="1"/>
  <c r="G6" i="4"/>
  <c r="G7" i="4"/>
  <c r="G5" i="4"/>
  <c r="G8" i="4"/>
  <c r="G4" i="4"/>
  <c r="G9" i="4"/>
  <c r="G10" i="4"/>
  <c r="G11" i="4"/>
  <c r="G12" i="4"/>
  <c r="G13" i="4"/>
  <c r="G14" i="4"/>
  <c r="G15" i="4"/>
  <c r="G16" i="4"/>
  <c r="G17" i="4"/>
  <c r="G1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5FD378-1EBF-4C3A-8CCC-127D2693A45B}" keepAlive="1" name="Query - ICT_Data" description="Connection to the 'ICT_Data' query in the workbook." type="5" refreshedVersion="8" background="1" saveData="1">
    <dbPr connection="Provider=Microsoft.Mashup.OleDb.1;Data Source=$Workbook$;Location=ICT_Data;Extended Properties=&quot;&quot;" command="SELECT * FROM [ICT_Data]"/>
  </connection>
  <connection id="2" xr16:uid="{7E43F589-CF6F-4E3A-93AC-FE0A56B93B42}" keepAlive="1" name="Query - ICT_Description" description="Connection to the 'ICT_Description' query in the workbook." type="5" refreshedVersion="8" background="1" saveData="1">
    <dbPr connection="Provider=Microsoft.Mashup.OleDb.1;Data Source=$Workbook$;Location=ICT_Description;Extended Properties=&quot;&quot;" command="SELECT * FROM [ICT_Descriptio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<sst xmlns="http://schemas.openxmlformats.org/spreadsheetml/2006/main" count="481" uniqueCount="218">
  <si>
    <t>Country Name</t>
  </si>
  <si>
    <t>Country Code</t>
  </si>
  <si>
    <t>Series Name</t>
  </si>
  <si>
    <t>Series Code</t>
  </si>
  <si>
    <t>Philippines</t>
  </si>
  <si>
    <t>PHL</t>
  </si>
  <si>
    <t>Fixed broadband subscriptions</t>
  </si>
  <si>
    <t>IT.NET.BBND</t>
  </si>
  <si>
    <t>Fixed broadband subscriptions (per 100 people)</t>
  </si>
  <si>
    <t>IT.NET.BBND.P2</t>
  </si>
  <si>
    <t>Fixed telephone subscriptions</t>
  </si>
  <si>
    <t>IT.MLT.MAIN</t>
  </si>
  <si>
    <t>Fixed telephone subscriptions (per 100 people)</t>
  </si>
  <si>
    <t>IT.MLT.MAIN.P2</t>
  </si>
  <si>
    <t>ICT goods exports (% of total goods exports)</t>
  </si>
  <si>
    <t>TX.VAL.ICTG.ZS.UN</t>
  </si>
  <si>
    <t>ICT goods imports (% total goods imports)</t>
  </si>
  <si>
    <t>TM.VAL.ICTG.ZS.UN</t>
  </si>
  <si>
    <t>ICT service exports (% of service exports, BoP)</t>
  </si>
  <si>
    <t>BX.GSR.CCIS.ZS</t>
  </si>
  <si>
    <t>ICT service exports (BoP, current US$)</t>
  </si>
  <si>
    <t>BX.GSR.CCIS.CD</t>
  </si>
  <si>
    <t>Individuals using the Internet (% of population)</t>
  </si>
  <si>
    <t>IT.NET.USER.ZS</t>
  </si>
  <si>
    <t>Individuals using the Internet, female (% of female population)</t>
  </si>
  <si>
    <t>IT.NET.USER.FE.ZS</t>
  </si>
  <si>
    <t>Individuals using the Internet, male (% of male population)</t>
  </si>
  <si>
    <t>IT.NET.USER.MA.ZS</t>
  </si>
  <si>
    <t>Mobile cellular subscriptions</t>
  </si>
  <si>
    <t>IT.CEL.SETS</t>
  </si>
  <si>
    <t>Mobile cellular subscriptions (per 100 people)</t>
  </si>
  <si>
    <t>IT.CEL.SETS.P2</t>
  </si>
  <si>
    <t>Secure Internet servers</t>
  </si>
  <si>
    <t>IT.NET.SECR</t>
  </si>
  <si>
    <t>Secure Internet servers (per 1 million people)</t>
  </si>
  <si>
    <t>IT.NET.SECR.P6</t>
  </si>
  <si>
    <t>Source</t>
  </si>
  <si>
    <t>Project Title</t>
  </si>
  <si>
    <t>Filters</t>
  </si>
  <si>
    <t>Download Date</t>
  </si>
  <si>
    <t>Sheet</t>
  </si>
  <si>
    <t>Description</t>
  </si>
  <si>
    <t>Raw_Data</t>
  </si>
  <si>
    <t>Source data as loaded by Power Query</t>
  </si>
  <si>
    <t>Criteria used to keep or drop indicators</t>
  </si>
  <si>
    <t>Screening_Rules</t>
  </si>
  <si>
    <t>Indicator_Screening</t>
  </si>
  <si>
    <t>Data_Dictionary</t>
  </si>
  <si>
    <t>Indicator_Dictionary</t>
  </si>
  <si>
    <t>https://databank.worldbank.org/source/world-development-indicators#</t>
  </si>
  <si>
    <t>Country: Philippines, Series: Infrastructure-Communications, Time: 2000-2025</t>
  </si>
  <si>
    <t>PH ICT and Communications in 21st Century from World Bank Data</t>
  </si>
  <si>
    <t>Screening Rules</t>
  </si>
  <si>
    <t>ID</t>
  </si>
  <si>
    <t>Rule</t>
  </si>
  <si>
    <t>Threshold</t>
  </si>
  <si>
    <t>Rationale</t>
  </si>
  <si>
    <t>Too few observations</t>
  </si>
  <si>
    <t>Redundant measures</t>
  </si>
  <si>
    <t>No relevance to the story</t>
  </si>
  <si>
    <t>Pass if there's &gt;=16 observation points, fail if not.</t>
  </si>
  <si>
    <t>Patterns and trends need sufficient points to create believable observations</t>
  </si>
  <si>
    <t>Keep the indicator with a normalized unit</t>
  </si>
  <si>
    <t>Similar indicators create more noise to the dashboard without creating meaningful insight</t>
  </si>
  <si>
    <t>Keep indicators that align to the dashboard's story</t>
  </si>
  <si>
    <t>Indicator Screening</t>
  </si>
  <si>
    <t>Indicator</t>
  </si>
  <si>
    <t>Indicator Code</t>
  </si>
  <si>
    <t>First Year</t>
  </si>
  <si>
    <t>Last Year</t>
  </si>
  <si>
    <t>Count</t>
  </si>
  <si>
    <t>Expected Count</t>
  </si>
  <si>
    <t>Coverage %</t>
  </si>
  <si>
    <t>Decision</t>
  </si>
  <si>
    <t>Reason</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</si>
  <si>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</si>
  <si>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</si>
  <si>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</si>
  <si>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</si>
  <si>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</si>
  <si>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</si>
  <si>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</si>
  <si>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</si>
  <si>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</si>
  <si>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</si>
  <si>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</si>
  <si>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</si>
  <si>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</si>
  <si>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</si>
  <si>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</si>
  <si>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</si>
  <si>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</si>
  <si>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</si>
  <si>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</si>
  <si>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</si>
  <si>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</si>
  <si>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</si>
  <si>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</si>
  <si>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</si>
  <si>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</si>
  <si>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Keep</t>
  </si>
  <si>
    <t>Remove</t>
  </si>
  <si>
    <t>Per 100 people metric would be better suited for analysis in consideration with population growth</t>
  </si>
  <si>
    <t>Column Name</t>
  </si>
  <si>
    <t>Data Type</t>
  </si>
  <si>
    <t>Example Value</t>
  </si>
  <si>
    <t>Blank Handling</t>
  </si>
  <si>
    <t>The name of the country where data was queried</t>
  </si>
  <si>
    <t>The code of country as assigned by the World Bank data</t>
  </si>
  <si>
    <t>World development indicator name</t>
  </si>
  <si>
    <t>World development indicator code</t>
  </si>
  <si>
    <t>Year Columns</t>
  </si>
  <si>
    <t>Year column from 2000 to 2024</t>
  </si>
  <si>
    <t>Text</t>
  </si>
  <si>
    <t>Decimal</t>
  </si>
  <si>
    <t>Should never have blanks; can mean stray row</t>
  </si>
  <si>
    <t>Leave blanks as NULL values</t>
  </si>
  <si>
    <t>Data Dictionary</t>
  </si>
  <si>
    <t>Indicator Dictionary</t>
  </si>
  <si>
    <t>Indicator Name</t>
  </si>
  <si>
    <t>Definition</t>
  </si>
  <si>
    <t/>
  </si>
  <si>
    <t>Code</t>
  </si>
  <si>
    <t>License Type</t>
  </si>
  <si>
    <t>Long definition</t>
  </si>
  <si>
    <t>Topic</t>
  </si>
  <si>
    <t>Dataset</t>
  </si>
  <si>
    <t>Unit of measure</t>
  </si>
  <si>
    <t>Periodicity</t>
  </si>
  <si>
    <t>Reference period</t>
  </si>
  <si>
    <t>Aggregation method</t>
  </si>
  <si>
    <t>Statistical concept and methodology</t>
  </si>
  <si>
    <t>Development relevance</t>
  </si>
  <si>
    <t>Limitations and exceptions</t>
  </si>
  <si>
    <t>Other notes</t>
  </si>
  <si>
    <t>License URL</t>
  </si>
  <si>
    <t>CC BY-4.0</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</si>
  <si>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</si>
  <si>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World Telecommunication/ICT Indicators Database, International Telecommunication Union (ITU)</t>
  </si>
  <si>
    <t>Infrastructure: Communications</t>
  </si>
  <si>
    <t>WB_WDI</t>
  </si>
  <si>
    <t>number of subscriptions</t>
  </si>
  <si>
    <t>Annual</t>
  </si>
  <si>
    <t>1998-2025</t>
  </si>
  <si>
    <t>Sum</t>
  </si>
  <si>
    <t>Methodology: The data can be collected by asking all ISPs in the country to provide the number of their fixed -broadband subscriptions (by type � cable, DSL, optical fiber, other, satellite, and terrestrial fixed wireless broadband).
Statistical concept(s): The data can be collected by asking all ISPs in the country to provide the number of their fixed -broadband subscriptions (by type � cable, DSL, optical fiber, other, satellite, and terrestrial fixed wireless broadband).</t>
  </si>
  <si>
    <t>Please cite the International Telecommunication Union for third-party use of these data.</t>
  </si>
  <si>
    <t>https://datacatalog.worldbank.org/int/public-licenses#cc-by</t>
  </si>
  <si>
    <t>number of subscriptions*100/population</t>
  </si>
  <si>
    <t>Weighted average</t>
  </si>
  <si>
    <t>Methodology: 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
Statistical concept(s): The data can be collected by asking all ISPs in the country to provide the number of their fixed -broadband subscriptions (by type � cable, DSL, optical fiber, other, satellite, and terrestrial fixed wireless broadband). This indicator can be divided by the population and multiplied by 100 to obtain fixed-broadband subscriptions per 100 people.</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</si>
  <si>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There are several economic gains associated with broadband. For example, with DSL, users can use a single standard phone line for both voice and data services. This enables them to surf the Internet and call a friend at the same time - all using the same phone line. Broadband also enhances many Internet applications such as new e-government services like electronic tax filing, online health care services, e-learning and increased levels of electronic commerce.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</si>
  <si>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Data are collected by national statistics offices through household surveys. Because survey questions and definitions differ, the estimates may not be strictly comparable across countries.
Fixed broadband Internet includes cable modem, DSL, fibre and other fixed broadband technology (such as satellite broadband Internet, Ethernet LANs, fixed-wireless access, Wireless Local Area Network, WiMAX etc.). Subscribers with access to data communications (including the Internet) via mobile cellular networks are excluded.
Advertised and real speeds can differ substantially. In some countries, regulatory authorities monitor the speed and quality of broadband services and oblige operators to provide accurate quality-of-service information to end users. Regional and global totals are calculated as unweighted sums of the country values. Regional and global penetration rates (per 100 inhabitants) are weighted averages of the country values weighted by the population of the countries/regions.
Discrepancies between global and national figures may arise when countries use a different definition than the one used by ITU. Discrepancies may also arise in cases where the end of a fiscal year differs from that used by ITU, which is end of December of every year. A number of countries have fiscal years that end in March or June of every year.</t>
  </si>
  <si>
    <t>Fixed telephone subscriptions refers to the sum of active number of analogue fixed telephone lines, voice-over-IP (VoIP) subscriptions, fixed wireless local loop (WLL) subscriptions, ISDN voice-channel equivalents and fixed public payphones.</t>
  </si>
  <si>
    <t>1960-2025</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</si>
  <si>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</si>
  <si>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Fixed telephone lines are those that connect a subscriber's terminal equipment to the public switched telephone network and that have a port on a telephone exchange. This term is synonymous with the term main station or Direct Exchange Line (DEL) that is commonly used in telecommunication documents. Integrated services digital network channels and fixed wireless subscribers are included. A fixed line also refers to a phone which uses a solid medium telephone line such as a metal wire or fiber optic cable for transmission as distinguished from a mobile cellular line which uses radio waves for transmission.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</si>
  <si>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</si>
  <si>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Telephone lines (per 100 people) indicator is derived by all telephone lines divided by the country's population and multiplied by 100.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 This indicator can be divided by the population and multiplied by 100 to obtain fixed telephone subscriptions per 100 people.</t>
  </si>
  <si>
    <t>Information and communication technology goods exports include computers and peripheral equipment, communication equipment, consumer electronic equipment, electronic components, and other information and technology goods (miscellaneous).</t>
  </si>
  <si>
    <t>UNCTADstat database, UN Conference on Trade and Development (UNCTAD), uri: http://unctadstat.unctad.org/ReportFolders/reportFolders.aspx</t>
  </si>
  <si>
    <t>2000-2024</t>
  </si>
  <si>
    <t>Methodology: Information and communication technology goods exports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exports as a percentage of total goods exports is calculated for each country by dividing the value of its ICT goods exports by the total value of its goods exports.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</si>
  <si>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For more information see www.itu.int/ITU-D/ict/partnership/.
The work of the Partnership is directed towards achieving internationally comparable and reliable ICT statistics. In order to achieve this, its members are involved in developing and maintaining a core list of ICT indicators. Other activities include the compilation and dissemination of ICT data, and the provision of technical assistance enabling statistical agencies to collect data that underlie the core list of ICT indicators.</t>
  </si>
  <si>
    <t>Detailed trade data are widely available from country trade statistics. These are collected by the UNSD and published in their UN COMTRADE database. The ICT goods trade indicators are usually compiled by interested international and national agencies using COMTRADE data. Concepts are therefore consistent with those applying to the COMTRADE database.
The main statistical issue associated with this indicator appears to be the different treatment of re-exports and re-imports by countries, depending on whether the Special or General Trade System is used.2 Re-imports are separately reported for some countries and the value of ICT re-imports (which is included in the value of ICT imports for those countries) is generally small.</t>
  </si>
  <si>
    <t>Information and communication technology goods imports include computers and peripheral equipment, communication equipment, consumer electronic equipment, electronic components, and other information and technology goods (miscellaneous).</t>
  </si>
  <si>
    <t>Methodology: Information and communication technology goods imports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imports as a percentage of total imports is calculated for each country by dividing the value of its ICT goods imports by the total value of its goods imports.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</si>
  <si>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Information and communication technology service exports include computer and communications services (telecommunications and postal and courier services) and information services (computer data and news-related service transactions).</t>
  </si>
  <si>
    <t>Balance of Payments Statistics Yearbook and data files, International Monetary Fund (IMF)</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</si>
  <si>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</si>
  <si>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The balance of payments records an economy's transactions with the rest of the world. Balance of payments accounts are divided into two groups: the current account, which records transactions in goods, services, income, and current transfers, and the capital and financial account, which records capital transfers, acquisition or disposal of non-produced, nonfinancial assets, and transactions in financial assets and liabilities.</t>
  </si>
  <si>
    <t>Discrepancies may arise in the balance of payments because there is no single source for balance of payments data and therefore no way to ensure that the data are fully consistent. Sources include customs data, monetary accounts of the banking system, external debt records, information provided by enterprises, surveys to estimate service transactions, and foreign exchange records. Differences in collection methods - such as in timing, definitions of residence and ownership, and the exchange rate used to value transactions - contribute to net errors and omissions. In addition, smuggling and other illegal or quasi-legal transactions may be unrecorded or misrecorded.</t>
  </si>
  <si>
    <t>Note: Data are based on the sixth edition of the IMF's Balance of Payments Manual (BPM6) and are only available from 2005 onwards.</t>
  </si>
  <si>
    <t>Information and communication technology service exports include computer and communications services (telecommunications and postal and courier services) and information services (computer data and news-related service transactions). Data are in current U.S. dollars.</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</si>
  <si>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</si>
  <si>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Internet users are individuals who have used the Internet (from any location) in the last 3 months. The Internet can be used via a computer, mobile phone, personal digital assistant, games machine, digital TV etc.</t>
  </si>
  <si>
    <t>World Telecommunication/ICT Indicators Database, International Telecommunication Union (ITU), uri: https://datahub.itu.int/</t>
  </si>
  <si>
    <t>% of population</t>
  </si>
  <si>
    <t>1990-2025</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</si>
  <si>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</si>
  <si>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</si>
  <si>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</si>
  <si>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This indicator refers to female individuals who have used the Internet (from any location) in the last 3 months. The Internet can be used via a computer, mobile phone, personal digital assistant, games machine, digital TV etc.</t>
  </si>
  <si>
    <t>Percent</t>
  </si>
  <si>
    <t>2000-2025</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</si>
  <si>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</si>
  <si>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This indicator refers to male individuals who have used the Internet (from any location) in the last 3 months. The Internet can be used via a computer, mobile phone, personal digital assistant, games machine, digital TV etc.</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</si>
  <si>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</si>
  <si>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</si>
  <si>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</si>
  <si>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</si>
  <si>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</si>
  <si>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The number of distinct, publicly-trusted TLS/SSL certificates found in the Netcraft Secure Server Survey (by hosting country).</t>
  </si>
  <si>
    <t>Secure Server Survey, Netcraft, uri: http://www.netcraft.com/</t>
  </si>
  <si>
    <t>2001-2024</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</si>
  <si>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</si>
  <si>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The quality of an economy's infrastructure, including power and communications, is an important element in investment decisions for both domestic and foreign investors.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Access to telecommunication services rose on an unprecedented scale over the past two decades. This growth was driven primarily by wireless technologies and liberalization of telecommunications markets, which have enabled faster and less costly network rollout.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</si>
  <si>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Netcraft only visits sites on the standard HTTPS port, 443. Whilst it is possible to run an HTTPS server on a different port (using a URL like https://example.com:7000) this behaviour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t>
  </si>
  <si>
    <t>The number of distinct, publicly-trusted TLS/SSL certificates found in the Netcraft Secure Server Survey (by hosting country), per 1 million people.</t>
  </si>
  <si>
    <t>Secure Server Survey, Netcraft, uri: http://www.netcraft.com/;
World Bank population estimates, World Bank (WB)</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</si>
  <si>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</si>
  <si>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This indicator measures the number of secure internet servers per 1 million people in a country, adjusting for population size to allow cross-country comparisons. Please note that countries with populations below 1 million may exhibit disproportionately high values, as the smaller denominator can inflate the per-capita figure. For instance, a country with 50,000 people and 500 secure servers would yield a ratio of 10,000 servers per 1 million people, despite the modest absolute number. For a balanced perspective, it is advisable to consider both the per-capita ratio and the absolute number of servers.</t>
  </si>
  <si>
    <t>Keep/drop decision and reason for such action</t>
  </si>
  <si>
    <t>Description of each column inside raw data</t>
  </si>
  <si>
    <t>Shortlisted indicators and their metadata</t>
  </si>
  <si>
    <t>Starts at 2022 and has too few observations to analyze about</t>
  </si>
  <si>
    <t>Narrowly missing out on the observatoin threshold set. Also,indicator contributes little information to the story of ICT in the Philippines in 21st century.</t>
  </si>
  <si>
    <t>Headline measure of digital adoption across the population</t>
  </si>
  <si>
    <t>Major Internet access channel in the country.</t>
  </si>
  <si>
    <t>Broadband subscription signify the changes in infrastructure for Internet connectivity</t>
  </si>
  <si>
    <t xml:space="preserve">Legacy infrastructure for Internet connectivity; can provide some information about how telephone access changed with advancements in Internet infrastructure </t>
  </si>
  <si>
    <t>Group</t>
  </si>
  <si>
    <t>Connectivity</t>
  </si>
  <si>
    <t>Trade</t>
  </si>
  <si>
    <t>Provides information on country's ICT products exported</t>
  </si>
  <si>
    <t xml:space="preserve">Pairs with the ICT exports of the country </t>
  </si>
  <si>
    <t>ICT related services offered by the country, which can connect to the digital infrastructure that workers can access</t>
  </si>
  <si>
    <t>ICT service exports in percentage would pair well with other indicators in nature of its 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</si>
</sst>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Aptos Narrow"/>
      <family val="2"/>
      <scheme val="minor"/>
    </font>
    <font>
      <b/>
      <sz val="15"/>
      <color theme="3"/>
      <name val="Aptos Narrow"/>
      <family val="2"/>
      <scheme val="minor"/>
    </font>
    <font>
      <b/>
      <sz val="13"/>
      <color theme="3"/>
      <name val="Aptos Narrow"/>
      <family val="2"/>
      <scheme val="minor"/>
    </font>
    <font>
      <sz val="8"/>
      <name val="Aptos Narrow"/>
      <family val="2"/>
      <scheme val="minor"/>
    </font>
    <font>
      <b/>
      <sz val="11"/>
      <color theme="0"/>
      <name val="Aptos Narrow"/>
      <family val="2"/>
      <scheme val="minor"/>
    </font>
    <font>
      <b/>
      <sz val="15"/>
      <color theme="8"/>
      <name val="Aptos Narrow"/>
      <family val="2"/>
      <scheme val="minor"/>
    </font>
    <font>
      <sz val="11"/>
      <color theme="8"/>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8"/>
        <bgColor theme="8"/>
      </patternFill>
    </fill>
    <fill>
      <patternFill patternType="solid">
        <fgColor theme="8" tint="0.59999389629810485"/>
        <bgColor theme="8" tint="0.59999389629810485"/>
      </patternFill>
    </fill>
    <fill>
      <patternFill patternType="solid">
        <fgColor theme="8" tint="0.79998168889431442"/>
        <bgColor theme="8" tint="0.79998168889431442"/>
      </patternFill>
    </fill>
  </fills>
  <borders count="14">
    <border>
      <left/>
      <right/>
      <top/>
      <bottom/>
      <diagonal/>
    </border>
    <border>
      <left/>
      <right/>
      <top/>
      <bottom style="thick">
        <color theme="4"/>
      </bottom>
      <diagonal/>
    </border>
    <border>
      <left/>
      <right/>
      <top/>
      <bottom style="thick">
        <color theme="4" tint="0.499984740745262"/>
      </bottom>
      <diagonal/>
    </border>
    <border>
      <left style="thin">
        <color theme="0"/>
      </left>
      <right/>
      <top style="thin">
        <color theme="0"/>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top style="thin">
        <color theme="0"/>
      </top>
      <bottom style="medium">
        <color theme="1"/>
      </bottom>
      <diagonal/>
    </border>
    <border>
      <left style="thin">
        <color theme="0"/>
      </left>
      <right/>
      <top style="thin">
        <color theme="0"/>
      </top>
      <bottom style="medium">
        <color theme="1"/>
      </bottom>
      <diagonal/>
    </border>
    <border>
      <left/>
      <right/>
      <top style="medium">
        <color theme="1"/>
      </top>
      <bottom/>
      <diagonal/>
    </border>
    <border>
      <left style="thin">
        <color theme="0"/>
      </left>
      <right/>
      <top style="medium">
        <color theme="1"/>
      </top>
      <bottom/>
      <diagonal/>
    </border>
    <border>
      <left style="thin">
        <color theme="0"/>
      </left>
      <right style="thin">
        <color theme="0"/>
      </right>
      <top style="thin">
        <color theme="0"/>
      </top>
      <bottom style="thin">
        <color theme="8"/>
      </bottom>
      <diagonal/>
    </border>
    <border>
      <left style="thin">
        <color theme="0"/>
      </left>
      <right/>
      <top/>
      <bottom style="medium">
        <color theme="1"/>
      </bottom>
      <diagonal/>
    </border>
    <border>
      <left/>
      <right/>
      <top/>
      <bottom style="thick">
        <color theme="8"/>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22">
    <xf numFmtId="0" fontId="0" fillId="0" borderId="0" xfId="0"/>
    <xf numFmtId="0" fontId="1" fillId="0" borderId="1" xfId="1"/>
    <xf numFmtId="0" fontId="2" fillId="0" borderId="2" xfId="2"/>
    <xf numFmtId="164" fontId="2" fillId="0" borderId="2" xfId="2" applyNumberFormat="1"/>
    <xf numFmtId="10" fontId="0" fillId="0" borderId="0" xfId="0" applyNumberFormat="1"/>
    <xf numFmtId="0" fontId="0" fillId="0" borderId="0" xfId="0" applyAlignment="1">
      <alignment wrapText="1"/>
    </xf>
    <xf numFmtId="0" fontId="0" fillId="3" borderId="3" xfId="0" applyFill="1" applyBorder="1"/>
    <xf numFmtId="0" fontId="0" fillId="3" borderId="4" xfId="0" applyFill="1" applyBorder="1"/>
    <xf numFmtId="0" fontId="0" fillId="3" borderId="5" xfId="0" applyFill="1" applyBorder="1"/>
    <xf numFmtId="0" fontId="0" fillId="4" borderId="6" xfId="0" applyFill="1" applyBorder="1"/>
    <xf numFmtId="0" fontId="0" fillId="4" borderId="3" xfId="0" applyFill="1" applyBorder="1"/>
    <xf numFmtId="0" fontId="0" fillId="3" borderId="6" xfId="0" applyFill="1" applyBorder="1"/>
    <xf numFmtId="0" fontId="4" fillId="2" borderId="9" xfId="0" applyFont="1" applyFill="1" applyBorder="1"/>
    <xf numFmtId="0" fontId="4" fillId="2" borderId="10" xfId="0" applyFont="1" applyFill="1" applyBorder="1"/>
    <xf numFmtId="0" fontId="0" fillId="3" borderId="7" xfId="0" applyFill="1" applyBorder="1"/>
    <xf numFmtId="0" fontId="0" fillId="3" borderId="8" xfId="0" applyFill="1" applyBorder="1"/>
    <xf numFmtId="0" fontId="0" fillId="3" borderId="12" xfId="0" applyFill="1" applyBorder="1"/>
    <xf numFmtId="0" fontId="0" fillId="4" borderId="11" xfId="0" applyFill="1" applyBorder="1"/>
    <xf numFmtId="0" fontId="5" fillId="0" borderId="13" xfId="1" applyFont="1" applyBorder="1"/>
    <xf numFmtId="0" fontId="6" fillId="0" borderId="0" xfId="0" applyFont="1"/>
    <xf numFmtId="0" fontId="0" fillId="0" borderId="0" xfId="0" applyAlignment="1">
      <alignment horizontal="left" vertical="center" wrapText="1"/>
    </xf>
    <xf numFmtId="0" fontId="7" fillId="0" borderId="0" xfId="0" applyFont="1"/>
  </cellXfs>
  <cellStyles count="3">
    <cellStyle name="Heading 1" xfId="1" builtinId="16"/>
    <cellStyle name="Heading 2" xfId="2" builtinId="17"/>
    <cellStyle name="Normal" xfId="0" builtinId="0"/>
  </cellStyles>
  <dxfs count="35">
    <dxf>
      <numFmt numFmtId="0" formatCode="General"/>
    </dxf>
    <dxf>
      <font>
        <b/>
      </font>
    </dxf>
    <dxf>
      <numFmt numFmtId="0" formatCode="General"/>
    </dxf>
    <dxf>
      <numFmt numFmtId="14" formatCode="0.00%"/>
    </dxf>
    <dxf>
      <numFmt numFmtId="0" formatCode="General"/>
      <alignment horizontal="general" vertical="bottom" textRotation="0" wrapText="1" indent="0" justifyLastLine="0" shrinkToFit="0" readingOrder="0"/>
    </dxf>
    <dxf>
      <numFmt numFmtId="0" formatCode="General"/>
    </dxf>
    <dxf>
      <numFmt numFmtId="0" formatCode="General"/>
    </dxf>
    <dxf>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general" vertical="bottom" textRotation="0" wrapText="1" indent="0" justifyLastLine="0" shrinkToFit="0" readingOrder="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811327-A66B-4A02-95F4-0F042DD338A7}" autoFormatId="16" applyNumberFormats="0" applyBorderFormats="0" applyFontFormats="0" applyPatternFormats="0" applyAlignmentFormats="0" applyWidthHeightFormats="0">
  <queryTableRefresh nextId="57">
    <queryTableFields count="29">
      <queryTableField id="1" name="Country Name" tableColumnId="1"/>
      <queryTableField id="2" name="Country Code" tableColumnId="2"/>
      <queryTableField id="3" name="Series Name" tableColumnId="3"/>
      <queryTableField id="4" name="Series Code" tableColumnId="4"/>
      <queryTableField id="31" name="2000" tableColumnId="5"/>
      <queryTableField id="32" name="2001" tableColumnId="6"/>
      <queryTableField id="33" name="2002" tableColumnId="7"/>
      <queryTableField id="34" name="2003" tableColumnId="8"/>
      <queryTableField id="35" name="2004" tableColumnId="9"/>
      <queryTableField id="36" name="2005" tableColumnId="10"/>
      <queryTableField id="37" name="2006" tableColumnId="11"/>
      <queryTableField id="38" name="2007" tableColumnId="12"/>
      <queryTableField id="39" name="2008" tableColumnId="13"/>
      <queryTableField id="40" name="2009" tableColumnId="14"/>
      <queryTableField id="41" name="2010" tableColumnId="15"/>
      <queryTableField id="42" name="2011" tableColumnId="16"/>
      <queryTableField id="43" name="2012" tableColumnId="17"/>
      <queryTableField id="44" name="2013" tableColumnId="18"/>
      <queryTableField id="45" name="2014" tableColumnId="19"/>
      <queryTableField id="46" name="2015" tableColumnId="20"/>
      <queryTableField id="47" name="2016" tableColumnId="21"/>
      <queryTableField id="48" name="2017" tableColumnId="22"/>
      <queryTableField id="49" name="2018" tableColumnId="23"/>
      <queryTableField id="50" name="2019" tableColumnId="24"/>
      <queryTableField id="51" name="2020" tableColumnId="25"/>
      <queryTableField id="52" name="2021" tableColumnId="26"/>
      <queryTableField id="53" name="2022" tableColumnId="27"/>
      <queryTableField id="54" name="2023" tableColumnId="28"/>
      <queryTableField id="55" name="2024" tableColumnId="2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7756A4B-12F6-41FC-8B2E-130847DD91AB}" autoFormatId="16" applyNumberFormats="0" applyBorderFormats="0" applyFontFormats="0" applyPatternFormats="0" applyAlignmentFormats="0" applyWidthHeightFormats="0">
  <queryTableRefresh nextId="31">
    <queryTableFields count="16">
      <queryTableField id="1" name="Code" tableColumnId="1"/>
      <queryTableField id="2" name="License Type" tableColumnId="2"/>
      <queryTableField id="3" name="Indicator Name" tableColumnId="3"/>
      <queryTableField id="4" name="Long definition" tableColumnId="4"/>
      <queryTableField id="5" name="Source" tableColumnId="5"/>
      <queryTableField id="6" name="Topic" tableColumnId="6"/>
      <queryTableField id="7" name="Dataset" tableColumnId="7"/>
      <queryTableField id="8" name="Unit of measure" tableColumnId="8"/>
      <queryTableField id="9" name="Periodicity" tableColumnId="9"/>
      <queryTableField id="10" name="Reference period" tableColumnId="10"/>
      <queryTableField id="11" name="Aggregation method" tableColumnId="11"/>
      <queryTableField id="12" name="Statistical concept and methodology" tableColumnId="12"/>
      <queryTableField id="13" name="Development relevance" tableColumnId="13"/>
      <queryTableField id="14" name="Limitations and exceptions" tableColumnId="14"/>
      <queryTableField id="15" name="Other notes" tableColumnId="15"/>
      <queryTableField id="16" name="License URL"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F008CA-FBEF-44ED-804D-F64950D97FC4}" name="ICT_Data" displayName="ICT_Data" ref="A1:AC16" tableType="queryTable">
  <autoFilter ref="A1:AC16" xr:uid="{D9F008CA-FBEF-44ED-804D-F64950D97FC4}"/>
  <tableColumns count="29">
    <tableColumn id="1" xr3:uid="{023CA58C-7F98-4AAC-AE79-7150090E7215}" uniqueName="1" name="Country Name" totalsRowLabel="Total" queryTableFieldId="1" dataDxfId="34"/>
    <tableColumn id="2" xr3:uid="{4A70FADC-DB68-4C5C-94E1-678D7587EE21}" uniqueName="2" name="Country Code" queryTableFieldId="2" dataDxfId="33"/>
    <tableColumn id="3" xr3:uid="{EB8497F9-E67D-45AE-B05F-F8BB4F8A542C}" uniqueName="3" name="Series Name" queryTableFieldId="3" dataDxfId="32"/>
    <tableColumn id="4" xr3:uid="{8A3D3103-7187-4E90-B55B-551953CAD566}" uniqueName="4" name="Series Code" queryTableFieldId="4" dataDxfId="31"/>
    <tableColumn id="5" xr3:uid="{03EBED70-A4FD-42D8-9E77-FED3FCBFD4C6}" uniqueName="5" name="2000" queryTableFieldId="31"/>
    <tableColumn id="6" xr3:uid="{7558E1FA-014A-401E-9248-FE732E268E58}" uniqueName="6" name="2001" queryTableFieldId="32"/>
    <tableColumn id="7" xr3:uid="{30830F5A-3DF5-44C6-BE2B-1187B927D331}" uniqueName="7" name="2002" queryTableFieldId="33"/>
    <tableColumn id="8" xr3:uid="{0A36C45B-1193-4C46-836D-082211738020}" uniqueName="8" name="2003" queryTableFieldId="34"/>
    <tableColumn id="9" xr3:uid="{CBF7EF3B-477C-4CBD-A538-07724ADE5C18}" uniqueName="9" name="2004" queryTableFieldId="35"/>
    <tableColumn id="10" xr3:uid="{1733BDEF-819B-42A2-AEC6-97094F6EA932}" uniqueName="10" name="2005" queryTableFieldId="36"/>
    <tableColumn id="11" xr3:uid="{B928A1A7-C0AF-4870-9542-64EE3A6E5BCA}" uniqueName="11" name="2006" queryTableFieldId="37"/>
    <tableColumn id="12" xr3:uid="{F0A79A56-FD6F-4701-9FB8-5A71C8796DF4}" uniqueName="12" name="2007" queryTableFieldId="38"/>
    <tableColumn id="13" xr3:uid="{1D4DD25A-7532-484A-B344-61C650DAB5B8}" uniqueName="13" name="2008" queryTableFieldId="39"/>
    <tableColumn id="14" xr3:uid="{A5E39AF0-94CC-4C2C-B6F1-22CD0D39ED38}" uniqueName="14" name="2009" queryTableFieldId="40"/>
    <tableColumn id="15" xr3:uid="{1DF2E02D-B728-4A03-A0F5-860AF5CA2898}" uniqueName="15" name="2010" queryTableFieldId="41"/>
    <tableColumn id="16" xr3:uid="{7D5E4180-BD35-4256-9D43-F439E1664A10}" uniqueName="16" name="2011" queryTableFieldId="42"/>
    <tableColumn id="17" xr3:uid="{F6B03C61-489F-47B1-88D1-739ED066EDFD}" uniqueName="17" name="2012" queryTableFieldId="43"/>
    <tableColumn id="18" xr3:uid="{301BB3EA-A7CC-4A70-B583-67C12388178C}" uniqueName="18" name="2013" queryTableFieldId="44"/>
    <tableColumn id="19" xr3:uid="{E598A88A-8B00-431C-9024-FB0610D21BB0}" uniqueName="19" name="2014" queryTableFieldId="45"/>
    <tableColumn id="20" xr3:uid="{5CC7E308-F6B8-4D4A-8741-F5A1EA934987}" uniqueName="20" name="2015" queryTableFieldId="46"/>
    <tableColumn id="21" xr3:uid="{C843CE1D-CACE-40CC-8F00-7D7CDDEC1F36}" uniqueName="21" name="2016" queryTableFieldId="47"/>
    <tableColumn id="22" xr3:uid="{1720B572-A9A0-4D72-9220-8580E51AF2B0}" uniqueName="22" name="2017" queryTableFieldId="48"/>
    <tableColumn id="23" xr3:uid="{6B9CF8A7-0485-466F-BE7B-9ABC6E8294E8}" uniqueName="23" name="2018" queryTableFieldId="49"/>
    <tableColumn id="24" xr3:uid="{3D1DB051-0D38-4B27-A2A6-FCC8E3EF4B7C}" uniqueName="24" name="2019" queryTableFieldId="50"/>
    <tableColumn id="25" xr3:uid="{EF1454EB-C4BB-4CEB-88DC-9C817CA99557}" uniqueName="25" name="2020" queryTableFieldId="51"/>
    <tableColumn id="26" xr3:uid="{05359688-0AC6-4EFD-9B02-68A8DB267223}" uniqueName="26" name="2021" queryTableFieldId="52"/>
    <tableColumn id="27" xr3:uid="{0F3410D4-925E-405E-95AE-AC119D96E071}" uniqueName="27" name="2022" queryTableFieldId="53"/>
    <tableColumn id="28" xr3:uid="{C5BFDDDF-19E2-4330-A843-F52B94FDB399}" uniqueName="28" name="2023" queryTableFieldId="54"/>
    <tableColumn id="29" xr3:uid="{489FD8C5-AF7C-46F3-9CAC-5FF020932585}" uniqueName="29" name="2024" queryTableFieldId="5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97BE3B-75F6-42B4-B48D-B1A2ACAC6B1B}" name="ICT_Description" displayName="ICT_Description" ref="A1:P16" tableType="queryTable" totalsRowShown="0" headerRowDxfId="8" dataDxfId="7">
  <autoFilter ref="A1:P16" xr:uid="{1A97BE3B-75F6-42B4-B48D-B1A2ACAC6B1B}"/>
  <tableColumns count="16">
    <tableColumn id="1" xr3:uid="{0B10C3F3-D6A1-4B2F-9437-99175B0632D6}" uniqueName="1" name="Code" queryTableFieldId="1" dataDxfId="24"/>
    <tableColumn id="2" xr3:uid="{415E6958-BAA0-4B70-BA31-A769CB49DA90}" uniqueName="2" name="License Type" queryTableFieldId="2" dataDxfId="23"/>
    <tableColumn id="3" xr3:uid="{9013ACD2-5A82-4010-B347-40A13AE36459}" uniqueName="3" name="Indicator Name" queryTableFieldId="3" dataDxfId="22"/>
    <tableColumn id="4" xr3:uid="{5A2C916A-70A7-4180-94AF-DED8AC45B2B4}" uniqueName="4" name="Long definition" queryTableFieldId="4" dataDxfId="21"/>
    <tableColumn id="5" xr3:uid="{122ECA21-E423-4C3B-9D9F-26CAEF7DD8E1}" uniqueName="5" name="Source" queryTableFieldId="5" dataDxfId="20"/>
    <tableColumn id="6" xr3:uid="{8A48E059-B46B-409A-8676-3B4DA56AC4C3}" uniqueName="6" name="Topic" queryTableFieldId="6" dataDxfId="19"/>
    <tableColumn id="7" xr3:uid="{2BB6DF8C-DF44-497D-AF3E-F7230BA8ED85}" uniqueName="7" name="Dataset" queryTableFieldId="7" dataDxfId="18"/>
    <tableColumn id="8" xr3:uid="{8592C1E6-A620-4DA5-A448-0A3F80BCB597}" uniqueName="8" name="Unit of measure" queryTableFieldId="8" dataDxfId="17"/>
    <tableColumn id="9" xr3:uid="{1FE5E856-FAA3-4DE9-B23C-5E5DFA750833}" uniqueName="9" name="Periodicity" queryTableFieldId="9" dataDxfId="16"/>
    <tableColumn id="10" xr3:uid="{C3EEF703-C205-46E4-9E6C-5FC1BEF53A3A}" uniqueName="10" name="Reference period" queryTableFieldId="10" dataDxfId="15"/>
    <tableColumn id="11" xr3:uid="{BA000FF9-048A-4637-90C1-36CE9836D72A}" uniqueName="11" name="Aggregation method" queryTableFieldId="11" dataDxfId="14"/>
    <tableColumn id="12" xr3:uid="{86B0ECBF-2796-4019-9A07-3CCD30A517AB}" uniqueName="12" name="Statistical concept and methodology" queryTableFieldId="12" dataDxfId="13"/>
    <tableColumn id="13" xr3:uid="{862C80AD-144B-4ACD-B9AE-445F102DACBB}" uniqueName="13" name="Development relevance" queryTableFieldId="13" dataDxfId="12"/>
    <tableColumn id="14" xr3:uid="{6D62F84A-C809-4963-82AF-E693630C07F2}" uniqueName="14" name="Limitations and exceptions" queryTableFieldId="14" dataDxfId="11"/>
    <tableColumn id="15" xr3:uid="{414951EE-C7D8-4261-9771-5D71031397D9}" uniqueName="15" name="Other notes" queryTableFieldId="15" dataDxfId="10"/>
    <tableColumn id="16" xr3:uid="{29412ED8-E924-41FC-BA6D-CE12899B893C}" uniqueName="16" name="License URL" queryTableFieldId="16"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4FC3EE-6786-4957-86DF-0422C61CB32E}" name="About" displayName="About" ref="A6:B11" totalsRowShown="0">
  <autoFilter ref="A6:B11" xr:uid="{C84FC3EE-6786-4957-86DF-0422C61CB32E}"/>
  <tableColumns count="2">
    <tableColumn id="1" xr3:uid="{827C43DD-A0FF-4A85-9991-240F8D472A8C}" name="Sheet"/>
    <tableColumn id="2" xr3:uid="{D65F616B-6302-4007-B7B8-150AF64B3960}" name="Description"/>
  </tableColumns>
  <tableStyleInfo name="TableStyleLight9"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094CD8-7A11-418F-BC85-B6D96B8098A7}" name="Screening_Rules" displayName="Screening_Rules" ref="A3:D6" totalsRowShown="0">
  <autoFilter ref="A3:D6" xr:uid="{03094CD8-7A11-418F-BC85-B6D96B8098A7}"/>
  <tableColumns count="4">
    <tableColumn id="1" xr3:uid="{B446C2E0-50DC-457D-B737-76BD32826127}" name="ID"/>
    <tableColumn id="2" xr3:uid="{DF8DD326-86C4-4369-9847-E86BEC8D7C74}" name="Rule"/>
    <tableColumn id="3" xr3:uid="{23C0ED22-74E9-406B-9585-FF0D0122B939}" name="Threshold"/>
    <tableColumn id="4" xr3:uid="{6ED11668-82A1-43BE-8B08-1775F9648E59}" name="Rationale"/>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BA72EB-380D-42C6-9D29-380E5D942995}" name="Screening" displayName="Screening" ref="A3:J18" totalsRowShown="0">
  <autoFilter ref="A3:J18" xr:uid="{C9BA72EB-380D-42C6-9D29-380E5D942995}"/>
  <tableColumns count="10">
    <tableColumn id="1" xr3:uid="{9783488B-F014-4D77-A6B2-7E421905FCC7}" name="Indicator"/>
    <tableColumn id="2" xr3:uid="{86EB30B8-D132-4133-B167-376BBE292BF4}" name="Indicator Code">
      <calculatedColumnFormula array="1">_xlfn.XLOOKUP(A4,ICT_Data[[#All],[Series Name]],ICT_Data[[#All],[Series Code]])</calculatedColumnFormula>
    </tableColumn>
    <tableColumn id="3" xr3:uid="{A59CBBB3-5E80-4EDA-9989-8CA7B365AA77}" name="First Year" dataDxfId="30">
      <calculatedColumnFormula array="1">_xlfn.XLOOKUP(TRUE, Raw_Data!E2:AC2&lt;&gt;"",ICT_Data[[#Headers],[2000]:[2024]], "none")</calculatedColumnFormula>
    </tableColumn>
    <tableColumn id="4" xr3:uid="{1EC09561-CA75-4655-82D6-65D4DC67C402}" name="Last Year" dataDxfId="29">
      <calculatedColumnFormula array="1">_xlfn.XLOOKUP(TRUE, Raw_Data!E2:AC2&lt;&gt;"",ICT_Data[[#Headers],[2000]:[2024]], "none", 0, -1)</calculatedColumnFormula>
    </tableColumn>
    <tableColumn id="5" xr3:uid="{20918F7F-9F34-4C81-98E6-FA273F74C0F1}" name="Count" dataDxfId="28">
      <calculatedColumnFormula>COUNT(Raw_Data!E2:AC2)</calculatedColumnFormula>
    </tableColumn>
    <tableColumn id="6" xr3:uid="{57FDFFDF-17E4-473D-85F0-6519F43417B2}" name="Expected Count" dataDxfId="27">
      <calculatedColumnFormula>COLUMNS(Raw_Data!E2:AC2)</calculatedColumnFormula>
    </tableColumn>
    <tableColumn id="7" xr3:uid="{C479FFC9-4414-4784-ABD3-39B7DAC005AD}" name="Coverage %" dataDxfId="26">
      <calculatedColumnFormula>E4/F4</calculatedColumnFormula>
    </tableColumn>
    <tableColumn id="10" xr3:uid="{7C5A088A-E494-4540-A9DA-5DBB1C80C388}" name="Group" dataDxfId="3"/>
    <tableColumn id="8" xr3:uid="{F71842C8-F184-4118-9D71-DBEDE892AD10}" name="Decision"/>
    <tableColumn id="9" xr3:uid="{52CE693C-38E5-4D82-9771-D318D4A303A9}" name="Reason" dataDxfId="25"/>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AE2E38D-B6D4-4BF5-8E81-C55829857DD2}" name="Indicator_Dictionary" displayName="Indicator_Dictionary" ref="A3:F10" totalsRowShown="0">
  <autoFilter ref="A3:F10" xr:uid="{AAE2E38D-B6D4-4BF5-8E81-C55829857DD2}"/>
  <tableColumns count="6">
    <tableColumn id="1" xr3:uid="{FDA87BE0-28C8-4EA7-9961-8A0C193D4EA1}" name="Indicator Code" dataDxfId="2">
      <calculatedColumnFormula array="1">IFERROR(INDEX(Screening[Indicator Code], SMALL(IF(Screening[Decision]="Keep", ROW(Screening[Indicator Code])-ROW(Screening[#Headers])), ROW(A1))), "")</calculatedColumnFormula>
    </tableColumn>
    <tableColumn id="2" xr3:uid="{4491F110-76A5-4C2D-B4DB-FAB9E39C6466}" name="Indicator Name" dataDxfId="1">
      <calculatedColumnFormula>_xlfn.XLOOKUP(A4,ICT_Data[Series Code],ICT_Data[Series Name])</calculatedColumnFormula>
    </tableColumn>
    <tableColumn id="3" xr3:uid="{EA0A6B8B-B771-4043-A601-9E7392401F1F}" name="Group" dataDxfId="0">
      <calculatedColumnFormula>_xlfn.XLOOKUP(Indicator_Dictionary[[#This Row],[Indicator Code]],Screening[Indicator Code],Screening[Group])</calculatedColumnFormula>
    </tableColumn>
    <tableColumn id="4" xr3:uid="{6688AA61-4F26-454B-B589-FA1D0059204B}" name="Definition" dataDxfId="4">
      <calculatedColumnFormula>_xlfn.XLOOKUP(Indicator_Dictionary[[#This Row],[Indicator Name]],ICT_Description[Indicator Name],ICT_Description[Long definition])</calculatedColumnFormula>
    </tableColumn>
    <tableColumn id="5" xr3:uid="{238B4E96-31BA-4694-9665-E9A47C87FEEE}" name="First Year" dataDxfId="5">
      <calculatedColumnFormula array="1">_xlfn.XLOOKUP(TRUE, Raw_Data!E2:AC2&lt;&gt;"",ICT_Data[[#Headers],[2000]:[2024]], "none")</calculatedColumnFormula>
    </tableColumn>
    <tableColumn id="6" xr3:uid="{B434CD4C-4C20-4626-85B3-B71075CCF605}" name="Last Year" dataDxfId="6">
      <calculatedColumnFormula array="1">_xlfn.XLOOKUP(TRUE, Raw_Data!E2:AC2&lt;&gt;"",ICT_Data[[#Headers],[2000]:[2024]], "none", 0, -1)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D8C8B-BB04-4C04-931A-A2F03CA931EA}">
  <dimension ref="A1:AC16"/>
  <sheetViews>
    <sheetView tabSelected="1" topLeftCell="L1" workbookViewId="0">
      <selection activeCell="AE11" sqref="AE11"/>
    </sheetView>
  </sheetViews>
  <sheetFormatPr defaultRowHeight="15" x14ac:dyDescent="0.25"/>
  <cols>
    <col min="1" max="1" width="16.42578125" bestFit="1" customWidth="1"/>
    <col min="2" max="2" width="16" bestFit="1" customWidth="1"/>
    <col min="3" max="3" width="57.140625" bestFit="1" customWidth="1"/>
    <col min="4" max="4" width="18" bestFit="1" customWidth="1"/>
    <col min="5" max="30" width="12" bestFit="1" customWidth="1"/>
    <col min="31" max="56" width="15.7109375" bestFit="1" customWidth="1"/>
  </cols>
  <sheetData>
    <row r="1" spans="1:29" x14ac:dyDescent="0.25">
      <c r="A1" t="s">
        <v>0</v>
      </c>
      <c r="B1" t="s">
        <v>1</v>
      </c>
      <c r="C1" t="s">
        <v>2</v>
      </c>
      <c r="D1" t="s">
        <v>3</v>
      </c>
      <c r="E1" t="s">
        <v>75</v>
      </c>
      <c r="F1" t="s">
        <v>76</v>
      </c>
      <c r="G1" t="s">
        <v>77</v>
      </c>
      <c r="H1" t="s">
        <v>78</v>
      </c>
      <c r="I1" t="s">
        <v>79</v>
      </c>
      <c r="J1" t="s">
        <v>80</v>
      </c>
      <c r="K1" t="s">
        <v>81</v>
      </c>
      <c r="L1" t="s">
        <v>82</v>
      </c>
      <c r="M1" t="s">
        <v>83</v>
      </c>
      <c r="N1" t="s">
        <v>84</v>
      </c>
      <c r="O1" t="s">
        <v>85</v>
      </c>
      <c r="P1" t="s">
        <v>86</v>
      </c>
      <c r="Q1" t="s">
        <v>87</v>
      </c>
      <c r="R1" t="s">
        <v>88</v>
      </c>
      <c r="S1" t="s">
        <v>89</v>
      </c>
      <c r="T1" t="s">
        <v>90</v>
      </c>
      <c r="U1" t="s">
        <v>91</v>
      </c>
      <c r="V1" t="s">
        <v>92</v>
      </c>
      <c r="W1" t="s">
        <v>93</v>
      </c>
      <c r="X1" t="s">
        <v>94</v>
      </c>
      <c r="Y1" t="s">
        <v>95</v>
      </c>
      <c r="Z1" t="s">
        <v>96</v>
      </c>
      <c r="AA1" t="s">
        <v>97</v>
      </c>
      <c r="AB1" t="s">
        <v>98</v>
      </c>
      <c r="AC1" t="s">
        <v>99</v>
      </c>
    </row>
    <row r="2" spans="1:29" x14ac:dyDescent="0.25">
      <c r="A2" t="s">
        <v>4</v>
      </c>
      <c r="B2" t="s">
        <v>5</v>
      </c>
      <c r="C2" t="s">
        <v>6</v>
      </c>
      <c r="D2" t="s">
        <v>7</v>
      </c>
      <c r="F2">
        <v>10000</v>
      </c>
      <c r="G2">
        <v>21000</v>
      </c>
      <c r="H2">
        <v>55000</v>
      </c>
      <c r="I2">
        <v>89000</v>
      </c>
      <c r="J2">
        <v>123000</v>
      </c>
      <c r="K2">
        <v>265030</v>
      </c>
      <c r="L2">
        <v>496151</v>
      </c>
      <c r="M2">
        <v>1045716</v>
      </c>
      <c r="N2">
        <v>1722407</v>
      </c>
      <c r="P2">
        <v>1791000</v>
      </c>
      <c r="Q2">
        <v>2146600</v>
      </c>
      <c r="R2">
        <v>2572800</v>
      </c>
      <c r="S2">
        <v>2900000</v>
      </c>
      <c r="T2">
        <v>2900000</v>
      </c>
      <c r="U2">
        <v>2985452</v>
      </c>
      <c r="V2">
        <v>3399291</v>
      </c>
      <c r="W2">
        <v>3788489</v>
      </c>
      <c r="X2">
        <v>6312883</v>
      </c>
      <c r="Y2">
        <v>7936574</v>
      </c>
      <c r="Z2">
        <v>9623734</v>
      </c>
      <c r="AA2">
        <v>8706266</v>
      </c>
      <c r="AB2">
        <v>7513090</v>
      </c>
      <c r="AC2">
        <v>8270002</v>
      </c>
    </row>
    <row r="3" spans="1:29" x14ac:dyDescent="0.25">
      <c r="A3" t="s">
        <v>4</v>
      </c>
      <c r="B3" t="s">
        <v>5</v>
      </c>
      <c r="C3" t="s">
        <v>8</v>
      </c>
      <c r="D3" t="s">
        <v>9</v>
      </c>
      <c r="F3">
        <v>1.2284787717885499E-2</v>
      </c>
      <c r="G3">
        <v>2.5280222539150601E-2</v>
      </c>
      <c r="H3">
        <v>6.4910667873533001E-2</v>
      </c>
      <c r="I3">
        <v>0.103015812209536</v>
      </c>
      <c r="J3">
        <v>0.139747379003822</v>
      </c>
      <c r="K3">
        <v>0.29609317661133999</v>
      </c>
      <c r="L3">
        <v>0.54477079069090895</v>
      </c>
      <c r="M3">
        <v>1.1280757379562301</v>
      </c>
      <c r="N3">
        <v>1.8248881566574899</v>
      </c>
      <c r="P3">
        <v>1.82292647914606</v>
      </c>
      <c r="Q3">
        <v>2.1428390603084702</v>
      </c>
      <c r="R3">
        <v>2.52046664370868</v>
      </c>
      <c r="S3">
        <v>2.7947192911666701</v>
      </c>
      <c r="T3">
        <v>2.7536963340667402</v>
      </c>
      <c r="U3">
        <v>2.7970505356318398</v>
      </c>
      <c r="V3">
        <v>3.14400726239576</v>
      </c>
      <c r="W3">
        <v>3.46090446005956</v>
      </c>
      <c r="X3">
        <v>5.6973070352992199</v>
      </c>
      <c r="Y3">
        <v>7.0810889498890699</v>
      </c>
      <c r="Z3">
        <v>8.5089771571326303</v>
      </c>
      <c r="AA3">
        <v>7.6394652509629797</v>
      </c>
      <c r="AB3">
        <v>6.5393085505183004</v>
      </c>
      <c r="AC3">
        <v>7.1389330120497698</v>
      </c>
    </row>
    <row r="4" spans="1:29" x14ac:dyDescent="0.25">
      <c r="A4" t="s">
        <v>4</v>
      </c>
      <c r="B4" t="s">
        <v>5</v>
      </c>
      <c r="C4" t="s">
        <v>10</v>
      </c>
      <c r="D4" t="s">
        <v>11</v>
      </c>
      <c r="E4">
        <v>3061387</v>
      </c>
      <c r="F4">
        <v>3315091</v>
      </c>
      <c r="G4">
        <v>3310933</v>
      </c>
      <c r="H4">
        <v>3340000</v>
      </c>
      <c r="I4">
        <v>3437491</v>
      </c>
      <c r="J4">
        <v>3367252</v>
      </c>
      <c r="K4">
        <v>3633188</v>
      </c>
      <c r="L4">
        <v>3940082</v>
      </c>
      <c r="M4">
        <v>4076140</v>
      </c>
      <c r="N4">
        <v>4100000</v>
      </c>
      <c r="O4">
        <v>3335398</v>
      </c>
      <c r="P4">
        <v>3555951</v>
      </c>
      <c r="Q4">
        <v>3493164</v>
      </c>
      <c r="R4">
        <v>3148835</v>
      </c>
      <c r="S4">
        <v>3093236</v>
      </c>
      <c r="T4">
        <v>3223787</v>
      </c>
      <c r="U4">
        <v>3781962</v>
      </c>
      <c r="V4">
        <v>4163282</v>
      </c>
      <c r="W4">
        <v>4132435</v>
      </c>
      <c r="X4">
        <v>4255808</v>
      </c>
      <c r="Y4">
        <v>4731196</v>
      </c>
      <c r="Z4">
        <v>4672737</v>
      </c>
      <c r="AA4">
        <v>4799424</v>
      </c>
      <c r="AB4">
        <v>4627105</v>
      </c>
      <c r="AC4">
        <v>4422371</v>
      </c>
    </row>
    <row r="5" spans="1:29" x14ac:dyDescent="0.25">
      <c r="A5" t="s">
        <v>4</v>
      </c>
      <c r="B5" t="s">
        <v>5</v>
      </c>
      <c r="C5" t="s">
        <v>12</v>
      </c>
      <c r="D5" t="s">
        <v>13</v>
      </c>
      <c r="E5">
        <v>3.8447368745929098</v>
      </c>
      <c r="F5">
        <v>4.0725189200472602</v>
      </c>
      <c r="G5">
        <v>3.9857677643913099</v>
      </c>
      <c r="H5">
        <v>3.9418478308654601</v>
      </c>
      <c r="I5">
        <v>3.9788306441344901</v>
      </c>
      <c r="J5">
        <v>3.8257287922388401</v>
      </c>
      <c r="K5">
        <v>4.0590203982424704</v>
      </c>
      <c r="L5">
        <v>4.3261861540680497</v>
      </c>
      <c r="M5">
        <v>4.3971734567635199</v>
      </c>
      <c r="N5">
        <v>4.3439450967719697</v>
      </c>
      <c r="O5">
        <v>3.4622145927647301</v>
      </c>
      <c r="P5">
        <v>3.6193396071724702</v>
      </c>
      <c r="Q5">
        <v>3.4870438196512499</v>
      </c>
      <c r="R5">
        <v>3.0847845087229602</v>
      </c>
      <c r="S5">
        <v>2.98094011080387</v>
      </c>
      <c r="T5">
        <v>3.0611484288662099</v>
      </c>
      <c r="U5">
        <v>3.5432955672505502</v>
      </c>
      <c r="V5">
        <v>3.8506232162534899</v>
      </c>
      <c r="W5">
        <v>3.7751100035941101</v>
      </c>
      <c r="X5">
        <v>3.8408196159001702</v>
      </c>
      <c r="Y5">
        <v>4.22121934670544</v>
      </c>
      <c r="Z5">
        <v>4.1314745808943298</v>
      </c>
      <c r="AA5">
        <v>4.2113384627391097</v>
      </c>
      <c r="AB5">
        <v>4.0273798517848203</v>
      </c>
      <c r="AC5">
        <v>3.8175335777949702</v>
      </c>
    </row>
    <row r="6" spans="1:29" x14ac:dyDescent="0.25">
      <c r="A6" t="s">
        <v>4</v>
      </c>
      <c r="B6" t="s">
        <v>5</v>
      </c>
      <c r="C6" t="s">
        <v>14</v>
      </c>
      <c r="D6" t="s">
        <v>15</v>
      </c>
      <c r="E6">
        <v>36.85</v>
      </c>
      <c r="F6">
        <v>38.619999999999997</v>
      </c>
      <c r="G6">
        <v>38.020000000000003</v>
      </c>
      <c r="H6">
        <v>36.58</v>
      </c>
      <c r="I6">
        <v>34.75</v>
      </c>
      <c r="J6">
        <v>44.6</v>
      </c>
      <c r="K6">
        <v>44.88</v>
      </c>
      <c r="L6">
        <v>31.08</v>
      </c>
      <c r="M6">
        <v>27.86</v>
      </c>
      <c r="N6">
        <v>33.33</v>
      </c>
      <c r="O6">
        <v>22.46</v>
      </c>
      <c r="P6">
        <v>18.03</v>
      </c>
      <c r="Q6">
        <v>25.89</v>
      </c>
      <c r="R6">
        <v>23.58</v>
      </c>
      <c r="S6">
        <v>31.22</v>
      </c>
      <c r="T6">
        <v>38.85</v>
      </c>
      <c r="U6">
        <v>39.770000000000003</v>
      </c>
      <c r="V6">
        <v>34.04</v>
      </c>
      <c r="W6">
        <v>37</v>
      </c>
      <c r="X6">
        <v>47.76</v>
      </c>
      <c r="Y6">
        <v>49.47</v>
      </c>
      <c r="Z6">
        <v>47.3</v>
      </c>
      <c r="AA6">
        <v>49.77</v>
      </c>
      <c r="AB6">
        <v>47.4</v>
      </c>
      <c r="AC6">
        <v>43.57</v>
      </c>
    </row>
    <row r="7" spans="1:29" x14ac:dyDescent="0.25">
      <c r="A7" t="s">
        <v>4</v>
      </c>
      <c r="B7" t="s">
        <v>5</v>
      </c>
      <c r="C7" t="s">
        <v>16</v>
      </c>
      <c r="D7" t="s">
        <v>17</v>
      </c>
      <c r="E7">
        <v>37.74</v>
      </c>
      <c r="F7">
        <v>42.32</v>
      </c>
      <c r="G7">
        <v>51.27</v>
      </c>
      <c r="H7">
        <v>48.56</v>
      </c>
      <c r="I7">
        <v>48.06</v>
      </c>
      <c r="J7">
        <v>45.62</v>
      </c>
      <c r="K7">
        <v>43.91</v>
      </c>
      <c r="L7">
        <v>42.41</v>
      </c>
      <c r="M7">
        <v>33.340000000000003</v>
      </c>
      <c r="N7">
        <v>32.880000000000003</v>
      </c>
      <c r="O7">
        <v>31.18</v>
      </c>
      <c r="P7">
        <v>13.03</v>
      </c>
      <c r="Q7">
        <v>24.64</v>
      </c>
      <c r="R7">
        <v>22.81</v>
      </c>
      <c r="S7">
        <v>20.62</v>
      </c>
      <c r="T7">
        <v>26.75</v>
      </c>
      <c r="U7">
        <v>23.6</v>
      </c>
      <c r="V7">
        <v>19.32</v>
      </c>
      <c r="W7">
        <v>21.73</v>
      </c>
      <c r="X7">
        <v>20.260000000000002</v>
      </c>
      <c r="Y7">
        <v>23.66</v>
      </c>
      <c r="Z7">
        <v>21.13</v>
      </c>
      <c r="AA7">
        <v>18.77</v>
      </c>
      <c r="AB7">
        <v>16.440000000000001</v>
      </c>
      <c r="AC7">
        <v>16.440000000000001</v>
      </c>
    </row>
    <row r="8" spans="1:29" x14ac:dyDescent="0.25">
      <c r="A8" t="s">
        <v>4</v>
      </c>
      <c r="B8" t="s">
        <v>5</v>
      </c>
      <c r="C8" t="s">
        <v>18</v>
      </c>
      <c r="D8" t="s">
        <v>19</v>
      </c>
      <c r="E8">
        <v>4.5915643352909798</v>
      </c>
      <c r="F8">
        <v>7.1094860857200901</v>
      </c>
      <c r="G8">
        <v>7.44394618834081</v>
      </c>
      <c r="H8">
        <v>8.1362513236851406</v>
      </c>
      <c r="I8">
        <v>7.7117010232833998</v>
      </c>
      <c r="J8">
        <v>7.5887320484103604</v>
      </c>
      <c r="K8">
        <v>9.1575592647836004</v>
      </c>
      <c r="L8">
        <v>10.109935685027599</v>
      </c>
      <c r="M8">
        <v>12.2868997467165</v>
      </c>
      <c r="N8">
        <v>13.469191761037701</v>
      </c>
      <c r="O8">
        <v>12.5738256910915</v>
      </c>
      <c r="P8">
        <v>14.665699489708</v>
      </c>
      <c r="Q8">
        <v>14.693211514650899</v>
      </c>
      <c r="R8">
        <v>14.295449717699</v>
      </c>
      <c r="S8">
        <v>13.6180786706062</v>
      </c>
      <c r="T8">
        <v>11.9075927570559</v>
      </c>
      <c r="U8">
        <v>17.604271343317102</v>
      </c>
      <c r="V8">
        <v>16.1876711463593</v>
      </c>
      <c r="W8">
        <v>15.4698594340888</v>
      </c>
      <c r="X8">
        <v>14.7780281734486</v>
      </c>
      <c r="Y8">
        <v>18.6338386370801</v>
      </c>
      <c r="Z8">
        <v>18.765520369446499</v>
      </c>
      <c r="AA8">
        <v>16.227603370569799</v>
      </c>
      <c r="AB8">
        <v>14.686089582101401</v>
      </c>
      <c r="AC8">
        <v>15.9566076017281</v>
      </c>
    </row>
    <row r="9" spans="1:29" x14ac:dyDescent="0.25">
      <c r="A9" t="s">
        <v>4</v>
      </c>
      <c r="B9" t="s">
        <v>5</v>
      </c>
      <c r="C9" t="s">
        <v>20</v>
      </c>
      <c r="D9" t="s">
        <v>21</v>
      </c>
      <c r="E9">
        <v>258000000</v>
      </c>
      <c r="F9">
        <v>350000000</v>
      </c>
      <c r="G9">
        <v>415000000</v>
      </c>
      <c r="H9">
        <v>461000000</v>
      </c>
      <c r="I9">
        <v>520000000</v>
      </c>
      <c r="J9">
        <v>653456159.57000005</v>
      </c>
      <c r="K9">
        <v>1013213073.4299999</v>
      </c>
      <c r="L9">
        <v>1365014670.53</v>
      </c>
      <c r="M9">
        <v>1604028857.5699999</v>
      </c>
      <c r="N9">
        <v>1897018491.8</v>
      </c>
      <c r="O9">
        <v>2235907860.4299998</v>
      </c>
      <c r="P9">
        <v>2768620263.9899998</v>
      </c>
      <c r="Q9">
        <v>3003175187.8400002</v>
      </c>
      <c r="R9">
        <v>3335865496.5799999</v>
      </c>
      <c r="S9">
        <v>3472350162.776</v>
      </c>
      <c r="T9">
        <v>3460947517.1599998</v>
      </c>
      <c r="U9">
        <v>5493167309.6517601</v>
      </c>
      <c r="V9">
        <v>5638432512.7866697</v>
      </c>
      <c r="W9">
        <v>5939974716.3214798</v>
      </c>
      <c r="X9">
        <v>6098008299.5440702</v>
      </c>
      <c r="Y9">
        <v>5929697458.3043098</v>
      </c>
      <c r="Z9">
        <v>6299586626.8334398</v>
      </c>
      <c r="AA9">
        <v>6673096927.8743401</v>
      </c>
      <c r="AB9">
        <v>7098057491.4193802</v>
      </c>
      <c r="AC9">
        <v>8085429150.08811</v>
      </c>
    </row>
    <row r="10" spans="1:29" x14ac:dyDescent="0.25">
      <c r="A10" t="s">
        <v>4</v>
      </c>
      <c r="B10" t="s">
        <v>5</v>
      </c>
      <c r="C10" t="s">
        <v>22</v>
      </c>
      <c r="D10" t="s">
        <v>23</v>
      </c>
      <c r="E10">
        <v>1.9822531960582701</v>
      </c>
      <c r="F10">
        <v>2.5240056600826901</v>
      </c>
      <c r="G10">
        <v>4.3322757464300699</v>
      </c>
      <c r="H10">
        <v>4.8576722670851202</v>
      </c>
      <c r="I10">
        <v>5.2436284521710999</v>
      </c>
      <c r="J10">
        <v>5.3976001739999999</v>
      </c>
      <c r="K10">
        <v>5.74058632534702</v>
      </c>
      <c r="L10">
        <v>5.97</v>
      </c>
      <c r="M10">
        <v>6.22</v>
      </c>
      <c r="N10">
        <v>9</v>
      </c>
      <c r="O10">
        <v>25</v>
      </c>
      <c r="P10">
        <v>29</v>
      </c>
      <c r="Q10">
        <v>30.799999240000002</v>
      </c>
      <c r="R10">
        <v>32.700000760000002</v>
      </c>
      <c r="S10">
        <v>34.700000760000002</v>
      </c>
      <c r="T10">
        <v>36.900001529999997</v>
      </c>
      <c r="U10">
        <v>39.200000760000002</v>
      </c>
      <c r="V10">
        <v>41.599998470000003</v>
      </c>
      <c r="W10">
        <v>44.099998470000003</v>
      </c>
      <c r="X10">
        <v>43.026611868027899</v>
      </c>
      <c r="Y10">
        <v>53.76490021</v>
      </c>
      <c r="Z10">
        <v>66.907798769999999</v>
      </c>
      <c r="AA10">
        <v>75.211144219999994</v>
      </c>
      <c r="AB10">
        <v>77.86699677</v>
      </c>
      <c r="AC10">
        <v>67.263009139999994</v>
      </c>
    </row>
    <row r="11" spans="1:29" x14ac:dyDescent="0.25">
      <c r="A11" t="s">
        <v>4</v>
      </c>
      <c r="B11" t="s">
        <v>5</v>
      </c>
      <c r="C11" t="s">
        <v>24</v>
      </c>
      <c r="D11" t="s">
        <v>25</v>
      </c>
      <c r="AA11">
        <v>75.150499999999994</v>
      </c>
      <c r="AC11">
        <v>69.940100000000001</v>
      </c>
    </row>
    <row r="12" spans="1:29" x14ac:dyDescent="0.25">
      <c r="A12" t="s">
        <v>4</v>
      </c>
      <c r="B12" t="s">
        <v>5</v>
      </c>
      <c r="C12" t="s">
        <v>26</v>
      </c>
      <c r="D12" t="s">
        <v>27</v>
      </c>
      <c r="AA12">
        <v>75.271600000000007</v>
      </c>
      <c r="AC12">
        <v>64.609300000000005</v>
      </c>
    </row>
    <row r="13" spans="1:29" x14ac:dyDescent="0.25">
      <c r="A13" t="s">
        <v>4</v>
      </c>
      <c r="B13" t="s">
        <v>5</v>
      </c>
      <c r="C13" t="s">
        <v>28</v>
      </c>
      <c r="D13" t="s">
        <v>29</v>
      </c>
      <c r="E13">
        <v>6454359</v>
      </c>
      <c r="F13">
        <v>12159163</v>
      </c>
      <c r="G13">
        <v>15383001</v>
      </c>
      <c r="H13">
        <v>22509560</v>
      </c>
      <c r="I13">
        <v>32935875</v>
      </c>
      <c r="J13">
        <v>34778995</v>
      </c>
      <c r="K13">
        <v>42868911</v>
      </c>
      <c r="L13">
        <v>57344815</v>
      </c>
      <c r="M13">
        <v>68117167</v>
      </c>
      <c r="N13">
        <v>75586646</v>
      </c>
      <c r="O13">
        <v>83150138</v>
      </c>
      <c r="P13">
        <v>94189795</v>
      </c>
      <c r="Q13">
        <v>101978345</v>
      </c>
      <c r="R13">
        <v>102823569</v>
      </c>
      <c r="S13">
        <v>111326045</v>
      </c>
      <c r="T13">
        <v>117838074</v>
      </c>
      <c r="U13">
        <v>120096895</v>
      </c>
      <c r="V13">
        <v>119971922</v>
      </c>
      <c r="W13">
        <v>134599017</v>
      </c>
      <c r="X13">
        <v>167322432</v>
      </c>
      <c r="Y13">
        <v>149579406</v>
      </c>
      <c r="Z13">
        <v>163345244</v>
      </c>
      <c r="AA13">
        <v>168016400</v>
      </c>
      <c r="AB13">
        <v>134739253</v>
      </c>
      <c r="AC13">
        <v>133566303</v>
      </c>
    </row>
    <row r="14" spans="1:29" x14ac:dyDescent="0.25">
      <c r="A14" t="s">
        <v>4</v>
      </c>
      <c r="B14" t="s">
        <v>5</v>
      </c>
      <c r="C14" t="s">
        <v>30</v>
      </c>
      <c r="D14" t="s">
        <v>31</v>
      </c>
      <c r="E14">
        <v>8.1059049539181594</v>
      </c>
      <c r="F14">
        <v>14.937273628216699</v>
      </c>
      <c r="G14">
        <v>18.518366123808399</v>
      </c>
      <c r="H14">
        <v>26.565646784352101</v>
      </c>
      <c r="I14">
        <v>38.122650718615198</v>
      </c>
      <c r="J14">
        <v>39.514417850707602</v>
      </c>
      <c r="K14">
        <v>47.893415975017298</v>
      </c>
      <c r="L14">
        <v>62.964259287140202</v>
      </c>
      <c r="M14">
        <v>73.482019430718296</v>
      </c>
      <c r="N14">
        <v>80.083961042229006</v>
      </c>
      <c r="O14">
        <v>86.311624931717702</v>
      </c>
      <c r="P14">
        <v>95.868828236090906</v>
      </c>
      <c r="Q14">
        <v>101.79967435554499</v>
      </c>
      <c r="R14">
        <v>100.732033524401</v>
      </c>
      <c r="S14">
        <v>107.284498472686</v>
      </c>
      <c r="T14">
        <v>111.893197374926</v>
      </c>
      <c r="U14">
        <v>112.51799877789701</v>
      </c>
      <c r="V14">
        <v>110.962137119646</v>
      </c>
      <c r="W14">
        <v>122.960456861544</v>
      </c>
      <c r="X14">
        <v>151.00664292320599</v>
      </c>
      <c r="Y14">
        <v>133.45620905916999</v>
      </c>
      <c r="Z14">
        <v>144.424289981649</v>
      </c>
      <c r="AA14">
        <v>147.428926406785</v>
      </c>
      <c r="AB14">
        <v>117.275521687262</v>
      </c>
      <c r="AC14">
        <v>115.29874959935201</v>
      </c>
    </row>
    <row r="15" spans="1:29" x14ac:dyDescent="0.25">
      <c r="A15" t="s">
        <v>4</v>
      </c>
      <c r="B15" t="s">
        <v>5</v>
      </c>
      <c r="C15" t="s">
        <v>32</v>
      </c>
      <c r="D15" t="s">
        <v>33</v>
      </c>
      <c r="O15">
        <v>474</v>
      </c>
      <c r="P15">
        <v>674</v>
      </c>
      <c r="Q15">
        <v>1146</v>
      </c>
      <c r="R15">
        <v>1233</v>
      </c>
      <c r="S15">
        <v>1619</v>
      </c>
      <c r="T15">
        <v>2139</v>
      </c>
      <c r="U15">
        <v>4202</v>
      </c>
      <c r="V15">
        <v>9239</v>
      </c>
      <c r="W15">
        <v>9903</v>
      </c>
      <c r="X15">
        <v>12035</v>
      </c>
      <c r="Y15">
        <v>12444</v>
      </c>
      <c r="Z15">
        <v>15116</v>
      </c>
      <c r="AA15">
        <v>11418</v>
      </c>
      <c r="AB15">
        <v>35099</v>
      </c>
      <c r="AC15">
        <v>15240</v>
      </c>
    </row>
    <row r="16" spans="1:29" x14ac:dyDescent="0.25">
      <c r="A16" t="s">
        <v>4</v>
      </c>
      <c r="B16" t="s">
        <v>5</v>
      </c>
      <c r="C16" t="s">
        <v>34</v>
      </c>
      <c r="D16" t="s">
        <v>35</v>
      </c>
      <c r="O16">
        <v>4.9202215656736703</v>
      </c>
      <c r="P16">
        <v>6.8601476657981104</v>
      </c>
      <c r="Q16">
        <v>11.4399215648631</v>
      </c>
      <c r="R16">
        <v>12.0791953190796</v>
      </c>
      <c r="S16">
        <v>15.6022432151684</v>
      </c>
      <c r="T16">
        <v>20.310884339892301</v>
      </c>
      <c r="U16">
        <v>39.3682643389511</v>
      </c>
      <c r="V16">
        <v>85.451592985932706</v>
      </c>
      <c r="W16">
        <v>90.467035453896898</v>
      </c>
      <c r="X16">
        <v>108.614542943099</v>
      </c>
      <c r="Y16">
        <v>111.02658513915399</v>
      </c>
      <c r="Z16">
        <v>133.65051310355901</v>
      </c>
      <c r="AA16">
        <v>100.189236390773</v>
      </c>
      <c r="AB16">
        <v>305.49772572222901</v>
      </c>
      <c r="AC16">
        <v>131.556605552984</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F9536-A0DE-44FC-BF5B-B8D54FCA95F9}">
  <dimension ref="A1:P16"/>
  <sheetViews>
    <sheetView topLeftCell="J14" workbookViewId="0">
      <selection activeCell="D3" sqref="D3"/>
    </sheetView>
  </sheetViews>
  <sheetFormatPr defaultRowHeight="15" x14ac:dyDescent="0.25"/>
  <cols>
    <col min="1" max="1" width="18" bestFit="1" customWidth="1"/>
    <col min="2" max="2" width="15" bestFit="1" customWidth="1"/>
    <col min="3" max="3" width="35.28515625" customWidth="1"/>
    <col min="4" max="4" width="89.5703125" customWidth="1"/>
    <col min="5" max="5" width="48.7109375" customWidth="1"/>
    <col min="6" max="6" width="29.85546875" bestFit="1" customWidth="1"/>
    <col min="7" max="7" width="10.28515625" bestFit="1" customWidth="1"/>
    <col min="8" max="8" width="38" bestFit="1" customWidth="1"/>
    <col min="9" max="9" width="13" bestFit="1" customWidth="1"/>
    <col min="10" max="10" width="19.140625" bestFit="1" customWidth="1"/>
    <col min="11" max="11" width="21.5703125" bestFit="1" customWidth="1"/>
    <col min="12" max="12" width="109.7109375" customWidth="1"/>
    <col min="13" max="13" width="123" customWidth="1"/>
    <col min="14" max="14" width="105.7109375" customWidth="1"/>
    <col min="15" max="15" width="82.5703125" customWidth="1"/>
    <col min="16" max="16" width="56" bestFit="1" customWidth="1"/>
    <col min="17" max="17" width="11.42578125" bestFit="1" customWidth="1"/>
    <col min="18" max="26" width="5.140625" bestFit="1" customWidth="1"/>
    <col min="27" max="27" width="12.42578125" bestFit="1" customWidth="1"/>
    <col min="28" max="28" width="6.140625" bestFit="1" customWidth="1"/>
    <col min="29" max="29" width="12.42578125" bestFit="1" customWidth="1"/>
    <col min="30" max="30" width="6.140625" bestFit="1" customWidth="1"/>
  </cols>
  <sheetData>
    <row r="1" spans="1:16" x14ac:dyDescent="0.25">
      <c r="A1" s="20" t="s">
        <v>122</v>
      </c>
      <c r="B1" s="20" t="s">
        <v>123</v>
      </c>
      <c r="C1" s="20" t="s">
        <v>119</v>
      </c>
      <c r="D1" s="20" t="s">
        <v>124</v>
      </c>
      <c r="E1" s="20" t="s">
        <v>36</v>
      </c>
      <c r="F1" s="20" t="s">
        <v>125</v>
      </c>
      <c r="G1" s="20" t="s">
        <v>126</v>
      </c>
      <c r="H1" s="20" t="s">
        <v>127</v>
      </c>
      <c r="I1" s="20" t="s">
        <v>128</v>
      </c>
      <c r="J1" s="20" t="s">
        <v>129</v>
      </c>
      <c r="K1" s="20" t="s">
        <v>130</v>
      </c>
      <c r="L1" s="20" t="s">
        <v>131</v>
      </c>
      <c r="M1" s="20" t="s">
        <v>132</v>
      </c>
      <c r="N1" s="20" t="s">
        <v>133</v>
      </c>
      <c r="O1" s="20" t="s">
        <v>134</v>
      </c>
      <c r="P1" s="20" t="s">
        <v>135</v>
      </c>
    </row>
    <row r="2" spans="1:16" ht="120" x14ac:dyDescent="0.25">
      <c r="A2" s="20" t="s">
        <v>7</v>
      </c>
      <c r="B2" s="20" t="s">
        <v>136</v>
      </c>
      <c r="C2" s="20" t="s">
        <v>6</v>
      </c>
      <c r="D2" s="20" t="s">
        <v>137</v>
      </c>
      <c r="E2" s="20" t="s">
        <v>138</v>
      </c>
      <c r="F2" s="20" t="s">
        <v>139</v>
      </c>
      <c r="G2" s="20" t="s">
        <v>140</v>
      </c>
      <c r="H2" s="20" t="s">
        <v>141</v>
      </c>
      <c r="I2" s="20" t="s">
        <v>142</v>
      </c>
      <c r="J2" s="20" t="s">
        <v>143</v>
      </c>
      <c r="K2" s="20" t="s">
        <v>144</v>
      </c>
      <c r="L2" s="20" t="s">
        <v>145</v>
      </c>
      <c r="M2" s="20" t="s">
        <v>121</v>
      </c>
      <c r="N2" s="20" t="s">
        <v>121</v>
      </c>
      <c r="O2" s="20" t="s">
        <v>146</v>
      </c>
      <c r="P2" s="20" t="s">
        <v>147</v>
      </c>
    </row>
    <row r="3" spans="1:16" ht="409.5" x14ac:dyDescent="0.25">
      <c r="A3" s="20" t="s">
        <v>9</v>
      </c>
      <c r="B3" s="20" t="s">
        <v>136</v>
      </c>
      <c r="C3" s="20" t="s">
        <v>8</v>
      </c>
      <c r="D3" s="20" t="s">
        <v>137</v>
      </c>
      <c r="E3" s="20" t="s">
        <v>138</v>
      </c>
      <c r="F3" s="20" t="s">
        <v>139</v>
      </c>
      <c r="G3" s="20" t="s">
        <v>140</v>
      </c>
      <c r="H3" s="20" t="s">
        <v>148</v>
      </c>
      <c r="I3" s="20" t="s">
        <v>142</v>
      </c>
      <c r="J3" s="20" t="s">
        <v>143</v>
      </c>
      <c r="K3" s="20" t="s">
        <v>149</v>
      </c>
      <c r="L3" s="20" t="s">
        <v>150</v>
      </c>
      <c r="M3" s="20" t="s">
        <v>151</v>
      </c>
      <c r="N3" s="20" t="s">
        <v>152</v>
      </c>
      <c r="O3" s="20" t="s">
        <v>146</v>
      </c>
      <c r="P3" s="20" t="s">
        <v>147</v>
      </c>
    </row>
    <row r="4" spans="1:16" ht="285" x14ac:dyDescent="0.25">
      <c r="A4" s="20" t="s">
        <v>11</v>
      </c>
      <c r="B4" s="20" t="s">
        <v>136</v>
      </c>
      <c r="C4" s="20" t="s">
        <v>10</v>
      </c>
      <c r="D4" s="20" t="s">
        <v>153</v>
      </c>
      <c r="E4" s="20" t="s">
        <v>138</v>
      </c>
      <c r="F4" s="20" t="s">
        <v>139</v>
      </c>
      <c r="G4" s="20" t="s">
        <v>140</v>
      </c>
      <c r="H4" s="20" t="s">
        <v>141</v>
      </c>
      <c r="I4" s="20" t="s">
        <v>142</v>
      </c>
      <c r="J4" s="20" t="s">
        <v>154</v>
      </c>
      <c r="K4" s="20" t="s">
        <v>144</v>
      </c>
      <c r="L4" s="20" t="s">
        <v>155</v>
      </c>
      <c r="M4" s="20" t="s">
        <v>156</v>
      </c>
      <c r="N4" s="20" t="s">
        <v>157</v>
      </c>
      <c r="O4" s="20" t="s">
        <v>146</v>
      </c>
      <c r="P4" s="20" t="s">
        <v>147</v>
      </c>
    </row>
    <row r="5" spans="1:16" ht="330" x14ac:dyDescent="0.25">
      <c r="A5" s="20" t="s">
        <v>13</v>
      </c>
      <c r="B5" s="20" t="s">
        <v>136</v>
      </c>
      <c r="C5" s="20" t="s">
        <v>12</v>
      </c>
      <c r="D5" s="20" t="s">
        <v>153</v>
      </c>
      <c r="E5" s="20" t="s">
        <v>138</v>
      </c>
      <c r="F5" s="20" t="s">
        <v>139</v>
      </c>
      <c r="G5" s="20" t="s">
        <v>140</v>
      </c>
      <c r="H5" s="20" t="s">
        <v>148</v>
      </c>
      <c r="I5" s="20" t="s">
        <v>142</v>
      </c>
      <c r="J5" s="20" t="s">
        <v>154</v>
      </c>
      <c r="K5" s="20" t="s">
        <v>149</v>
      </c>
      <c r="L5" s="20" t="s">
        <v>158</v>
      </c>
      <c r="M5" s="20" t="s">
        <v>156</v>
      </c>
      <c r="N5" s="20" t="s">
        <v>157</v>
      </c>
      <c r="O5" s="20" t="s">
        <v>146</v>
      </c>
      <c r="P5" s="20" t="s">
        <v>147</v>
      </c>
    </row>
    <row r="6" spans="1:16" ht="240" x14ac:dyDescent="0.25">
      <c r="A6" s="20" t="s">
        <v>15</v>
      </c>
      <c r="B6" s="20" t="s">
        <v>136</v>
      </c>
      <c r="C6" s="20" t="s">
        <v>14</v>
      </c>
      <c r="D6" s="20" t="s">
        <v>159</v>
      </c>
      <c r="E6" s="20" t="s">
        <v>160</v>
      </c>
      <c r="F6" s="20" t="s">
        <v>139</v>
      </c>
      <c r="G6" s="20" t="s">
        <v>140</v>
      </c>
      <c r="H6" s="20" t="s">
        <v>121</v>
      </c>
      <c r="I6" s="20" t="s">
        <v>142</v>
      </c>
      <c r="J6" s="20" t="s">
        <v>161</v>
      </c>
      <c r="K6" s="20" t="s">
        <v>149</v>
      </c>
      <c r="L6" s="20" t="s">
        <v>162</v>
      </c>
      <c r="M6" s="20" t="s">
        <v>163</v>
      </c>
      <c r="N6" s="20" t="s">
        <v>164</v>
      </c>
      <c r="O6" s="20" t="s">
        <v>121</v>
      </c>
      <c r="P6" s="20" t="s">
        <v>147</v>
      </c>
    </row>
    <row r="7" spans="1:16" ht="240" x14ac:dyDescent="0.25">
      <c r="A7" s="20" t="s">
        <v>17</v>
      </c>
      <c r="B7" s="20" t="s">
        <v>136</v>
      </c>
      <c r="C7" s="20" t="s">
        <v>16</v>
      </c>
      <c r="D7" s="20" t="s">
        <v>165</v>
      </c>
      <c r="E7" s="20" t="s">
        <v>160</v>
      </c>
      <c r="F7" s="20" t="s">
        <v>139</v>
      </c>
      <c r="G7" s="20" t="s">
        <v>140</v>
      </c>
      <c r="H7" s="20" t="s">
        <v>121</v>
      </c>
      <c r="I7" s="20" t="s">
        <v>142</v>
      </c>
      <c r="J7" s="20" t="s">
        <v>161</v>
      </c>
      <c r="K7" s="20" t="s">
        <v>149</v>
      </c>
      <c r="L7" s="20" t="s">
        <v>166</v>
      </c>
      <c r="M7" s="20" t="s">
        <v>163</v>
      </c>
      <c r="N7" s="20" t="s">
        <v>164</v>
      </c>
      <c r="O7" s="20" t="s">
        <v>121</v>
      </c>
      <c r="P7" s="20" t="s">
        <v>147</v>
      </c>
    </row>
    <row r="8" spans="1:16" ht="135" x14ac:dyDescent="0.25">
      <c r="A8" s="20" t="s">
        <v>19</v>
      </c>
      <c r="B8" s="20" t="s">
        <v>136</v>
      </c>
      <c r="C8" s="20" t="s">
        <v>18</v>
      </c>
      <c r="D8" s="20" t="s">
        <v>167</v>
      </c>
      <c r="E8" s="20" t="s">
        <v>168</v>
      </c>
      <c r="F8" s="20" t="s">
        <v>139</v>
      </c>
      <c r="G8" s="20" t="s">
        <v>140</v>
      </c>
      <c r="H8" s="20" t="s">
        <v>121</v>
      </c>
      <c r="I8" s="20" t="s">
        <v>142</v>
      </c>
      <c r="J8" s="20" t="s">
        <v>154</v>
      </c>
      <c r="K8" s="20" t="s">
        <v>149</v>
      </c>
      <c r="L8" s="20" t="s">
        <v>169</v>
      </c>
      <c r="M8" s="20" t="s">
        <v>170</v>
      </c>
      <c r="N8" s="20" t="s">
        <v>171</v>
      </c>
      <c r="O8" s="20" t="s">
        <v>172</v>
      </c>
      <c r="P8" s="20" t="s">
        <v>147</v>
      </c>
    </row>
    <row r="9" spans="1:16" ht="120" x14ac:dyDescent="0.25">
      <c r="A9" s="20" t="s">
        <v>21</v>
      </c>
      <c r="B9" s="20" t="s">
        <v>136</v>
      </c>
      <c r="C9" s="20" t="s">
        <v>20</v>
      </c>
      <c r="D9" s="20" t="s">
        <v>173</v>
      </c>
      <c r="E9" s="20" t="s">
        <v>168</v>
      </c>
      <c r="F9" s="20" t="s">
        <v>139</v>
      </c>
      <c r="G9" s="20" t="s">
        <v>140</v>
      </c>
      <c r="H9" s="20" t="s">
        <v>121</v>
      </c>
      <c r="I9" s="20" t="s">
        <v>142</v>
      </c>
      <c r="J9" s="20" t="s">
        <v>154</v>
      </c>
      <c r="K9" s="20" t="s">
        <v>144</v>
      </c>
      <c r="L9" s="20" t="s">
        <v>174</v>
      </c>
      <c r="M9" s="20" t="s">
        <v>121</v>
      </c>
      <c r="N9" s="20" t="s">
        <v>121</v>
      </c>
      <c r="O9" s="20" t="s">
        <v>172</v>
      </c>
      <c r="P9" s="20" t="s">
        <v>147</v>
      </c>
    </row>
    <row r="10" spans="1:16" ht="210" x14ac:dyDescent="0.25">
      <c r="A10" s="20" t="s">
        <v>23</v>
      </c>
      <c r="B10" s="20" t="s">
        <v>136</v>
      </c>
      <c r="C10" s="20" t="s">
        <v>22</v>
      </c>
      <c r="D10" s="20" t="s">
        <v>175</v>
      </c>
      <c r="E10" s="20" t="s">
        <v>176</v>
      </c>
      <c r="F10" s="20" t="s">
        <v>139</v>
      </c>
      <c r="G10" s="20" t="s">
        <v>140</v>
      </c>
      <c r="H10" s="20" t="s">
        <v>177</v>
      </c>
      <c r="I10" s="20" t="s">
        <v>142</v>
      </c>
      <c r="J10" s="20" t="s">
        <v>178</v>
      </c>
      <c r="K10" s="20" t="s">
        <v>149</v>
      </c>
      <c r="L10" s="20" t="s">
        <v>179</v>
      </c>
      <c r="M10" s="20" t="s">
        <v>180</v>
      </c>
      <c r="N10" s="20" t="s">
        <v>181</v>
      </c>
      <c r="O10" s="20" t="s">
        <v>146</v>
      </c>
      <c r="P10" s="20" t="s">
        <v>147</v>
      </c>
    </row>
    <row r="11" spans="1:16" ht="210" x14ac:dyDescent="0.25">
      <c r="A11" s="20" t="s">
        <v>25</v>
      </c>
      <c r="B11" s="20" t="s">
        <v>136</v>
      </c>
      <c r="C11" s="20" t="s">
        <v>24</v>
      </c>
      <c r="D11" s="20" t="s">
        <v>182</v>
      </c>
      <c r="E11" s="20" t="s">
        <v>138</v>
      </c>
      <c r="F11" s="20" t="s">
        <v>139</v>
      </c>
      <c r="G11" s="20" t="s">
        <v>140</v>
      </c>
      <c r="H11" s="20" t="s">
        <v>183</v>
      </c>
      <c r="I11" s="20" t="s">
        <v>142</v>
      </c>
      <c r="J11" s="20" t="s">
        <v>184</v>
      </c>
      <c r="K11" s="20" t="s">
        <v>149</v>
      </c>
      <c r="L11" s="20" t="s">
        <v>185</v>
      </c>
      <c r="M11" s="20" t="s">
        <v>180</v>
      </c>
      <c r="N11" s="20" t="s">
        <v>181</v>
      </c>
      <c r="O11" s="20" t="s">
        <v>146</v>
      </c>
      <c r="P11" s="20" t="s">
        <v>147</v>
      </c>
    </row>
    <row r="12" spans="1:16" ht="210" x14ac:dyDescent="0.25">
      <c r="A12" s="20" t="s">
        <v>27</v>
      </c>
      <c r="B12" s="20" t="s">
        <v>136</v>
      </c>
      <c r="C12" s="20" t="s">
        <v>26</v>
      </c>
      <c r="D12" s="20" t="s">
        <v>186</v>
      </c>
      <c r="E12" s="20" t="s">
        <v>138</v>
      </c>
      <c r="F12" s="20" t="s">
        <v>139</v>
      </c>
      <c r="G12" s="20" t="s">
        <v>140</v>
      </c>
      <c r="H12" s="20" t="s">
        <v>183</v>
      </c>
      <c r="I12" s="20" t="s">
        <v>142</v>
      </c>
      <c r="J12" s="20" t="s">
        <v>184</v>
      </c>
      <c r="K12" s="20" t="s">
        <v>149</v>
      </c>
      <c r="L12" s="20" t="s">
        <v>185</v>
      </c>
      <c r="M12" s="20" t="s">
        <v>180</v>
      </c>
      <c r="N12" s="20" t="s">
        <v>181</v>
      </c>
      <c r="O12" s="20" t="s">
        <v>146</v>
      </c>
      <c r="P12" s="20" t="s">
        <v>147</v>
      </c>
    </row>
    <row r="13" spans="1:16" ht="345" x14ac:dyDescent="0.25">
      <c r="A13" s="20" t="s">
        <v>29</v>
      </c>
      <c r="B13" s="20" t="s">
        <v>136</v>
      </c>
      <c r="C13" s="20" t="s">
        <v>28</v>
      </c>
      <c r="D13" s="20" t="s">
        <v>187</v>
      </c>
      <c r="E13" s="20" t="s">
        <v>138</v>
      </c>
      <c r="F13" s="20" t="s">
        <v>139</v>
      </c>
      <c r="G13" s="20" t="s">
        <v>140</v>
      </c>
      <c r="H13" s="20" t="s">
        <v>141</v>
      </c>
      <c r="I13" s="20" t="s">
        <v>142</v>
      </c>
      <c r="J13" s="20" t="s">
        <v>154</v>
      </c>
      <c r="K13" s="20" t="s">
        <v>144</v>
      </c>
      <c r="L13" s="20" t="s">
        <v>188</v>
      </c>
      <c r="M13" s="20" t="s">
        <v>189</v>
      </c>
      <c r="N13" s="20" t="s">
        <v>190</v>
      </c>
      <c r="O13" s="20" t="s">
        <v>146</v>
      </c>
      <c r="P13" s="20" t="s">
        <v>147</v>
      </c>
    </row>
    <row r="14" spans="1:16" ht="375" x14ac:dyDescent="0.25">
      <c r="A14" s="20" t="s">
        <v>31</v>
      </c>
      <c r="B14" s="20" t="s">
        <v>136</v>
      </c>
      <c r="C14" s="20" t="s">
        <v>30</v>
      </c>
      <c r="D14" s="20" t="s">
        <v>187</v>
      </c>
      <c r="E14" s="20" t="s">
        <v>138</v>
      </c>
      <c r="F14" s="20" t="s">
        <v>139</v>
      </c>
      <c r="G14" s="20" t="s">
        <v>140</v>
      </c>
      <c r="H14" s="20" t="s">
        <v>148</v>
      </c>
      <c r="I14" s="20" t="s">
        <v>142</v>
      </c>
      <c r="J14" s="20" t="s">
        <v>154</v>
      </c>
      <c r="K14" s="20" t="s">
        <v>149</v>
      </c>
      <c r="L14" s="20" t="s">
        <v>191</v>
      </c>
      <c r="M14" s="20" t="s">
        <v>189</v>
      </c>
      <c r="N14" s="20" t="s">
        <v>190</v>
      </c>
      <c r="O14" s="20" t="s">
        <v>146</v>
      </c>
      <c r="P14" s="20" t="s">
        <v>147</v>
      </c>
    </row>
    <row r="15" spans="1:16" ht="409.5" x14ac:dyDescent="0.25">
      <c r="A15" s="20" t="s">
        <v>33</v>
      </c>
      <c r="B15" s="20" t="s">
        <v>136</v>
      </c>
      <c r="C15" s="20" t="s">
        <v>32</v>
      </c>
      <c r="D15" s="20" t="s">
        <v>192</v>
      </c>
      <c r="E15" s="20" t="s">
        <v>193</v>
      </c>
      <c r="F15" s="20" t="s">
        <v>139</v>
      </c>
      <c r="G15" s="20" t="s">
        <v>140</v>
      </c>
      <c r="H15" s="20" t="s">
        <v>70</v>
      </c>
      <c r="I15" s="20" t="s">
        <v>142</v>
      </c>
      <c r="J15" s="20" t="s">
        <v>194</v>
      </c>
      <c r="K15" s="20" t="s">
        <v>144</v>
      </c>
      <c r="L15" s="20" t="s">
        <v>195</v>
      </c>
      <c r="M15" s="20" t="s">
        <v>196</v>
      </c>
      <c r="N15" s="20" t="s">
        <v>197</v>
      </c>
      <c r="O15" s="20" t="s">
        <v>121</v>
      </c>
      <c r="P15" s="20" t="s">
        <v>147</v>
      </c>
    </row>
    <row r="16" spans="1:16" ht="409.5" x14ac:dyDescent="0.25">
      <c r="A16" s="20" t="s">
        <v>35</v>
      </c>
      <c r="B16" s="20" t="s">
        <v>136</v>
      </c>
      <c r="C16" s="20" t="s">
        <v>34</v>
      </c>
      <c r="D16" s="20" t="s">
        <v>198</v>
      </c>
      <c r="E16" s="20" t="s">
        <v>199</v>
      </c>
      <c r="F16" s="20" t="s">
        <v>139</v>
      </c>
      <c r="G16" s="20" t="s">
        <v>140</v>
      </c>
      <c r="H16" s="20" t="s">
        <v>70</v>
      </c>
      <c r="I16" s="20" t="s">
        <v>142</v>
      </c>
      <c r="J16" s="20" t="s">
        <v>194</v>
      </c>
      <c r="K16" s="20" t="s">
        <v>149</v>
      </c>
      <c r="L16" s="20" t="s">
        <v>200</v>
      </c>
      <c r="M16" s="20" t="s">
        <v>196</v>
      </c>
      <c r="N16" s="20" t="s">
        <v>197</v>
      </c>
      <c r="O16" s="20" t="s">
        <v>201</v>
      </c>
      <c r="P16" s="20" t="s">
        <v>147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CA76-755F-4524-951A-2591F0D2C2EE}">
  <dimension ref="A1:B11"/>
  <sheetViews>
    <sheetView workbookViewId="0">
      <selection activeCell="B12" sqref="B12"/>
    </sheetView>
  </sheetViews>
  <sheetFormatPr defaultRowHeight="15" x14ac:dyDescent="0.25"/>
  <cols>
    <col min="1" max="1" width="19.140625" bestFit="1" customWidth="1"/>
    <col min="2" max="2" width="97" bestFit="1" customWidth="1"/>
  </cols>
  <sheetData>
    <row r="1" spans="1:2" ht="20.25" thickBot="1" x14ac:dyDescent="0.35">
      <c r="A1" s="1" t="s">
        <v>37</v>
      </c>
      <c r="B1" s="1" t="s">
        <v>51</v>
      </c>
    </row>
    <row r="2" spans="1:2" ht="18.75" thickTop="1" thickBot="1" x14ac:dyDescent="0.35">
      <c r="A2" s="2" t="s">
        <v>36</v>
      </c>
      <c r="B2" s="2" t="s">
        <v>49</v>
      </c>
    </row>
    <row r="3" spans="1:2" ht="18.75" thickTop="1" thickBot="1" x14ac:dyDescent="0.35">
      <c r="A3" s="2" t="s">
        <v>38</v>
      </c>
      <c r="B3" s="2" t="s">
        <v>50</v>
      </c>
    </row>
    <row r="4" spans="1:2" ht="18.75" thickTop="1" thickBot="1" x14ac:dyDescent="0.35">
      <c r="A4" s="2" t="s">
        <v>39</v>
      </c>
      <c r="B4" s="3">
        <v>46303</v>
      </c>
    </row>
    <row r="5" spans="1:2" ht="15.75" thickTop="1" x14ac:dyDescent="0.25"/>
    <row r="6" spans="1:2" x14ac:dyDescent="0.25">
      <c r="A6" t="s">
        <v>40</v>
      </c>
      <c r="B6" t="s">
        <v>41</v>
      </c>
    </row>
    <row r="7" spans="1:2" x14ac:dyDescent="0.25">
      <c r="A7" t="s">
        <v>42</v>
      </c>
      <c r="B7" t="s">
        <v>43</v>
      </c>
    </row>
    <row r="8" spans="1:2" x14ac:dyDescent="0.25">
      <c r="A8" t="s">
        <v>45</v>
      </c>
      <c r="B8" t="s">
        <v>44</v>
      </c>
    </row>
    <row r="9" spans="1:2" x14ac:dyDescent="0.25">
      <c r="A9" t="s">
        <v>46</v>
      </c>
      <c r="B9" t="s">
        <v>202</v>
      </c>
    </row>
    <row r="10" spans="1:2" x14ac:dyDescent="0.25">
      <c r="A10" t="s">
        <v>47</v>
      </c>
      <c r="B10" t="s">
        <v>203</v>
      </c>
    </row>
    <row r="11" spans="1:2" x14ac:dyDescent="0.25">
      <c r="A11" t="s">
        <v>48</v>
      </c>
      <c r="B11" t="s">
        <v>204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B92FB-5CBE-4899-8BAC-1FB805C6377F}">
  <dimension ref="A1:D6"/>
  <sheetViews>
    <sheetView workbookViewId="0">
      <selection activeCell="D6" sqref="D6"/>
    </sheetView>
  </sheetViews>
  <sheetFormatPr defaultRowHeight="15" x14ac:dyDescent="0.25"/>
  <cols>
    <col min="2" max="2" width="24.140625" customWidth="1"/>
    <col min="3" max="3" width="44.85546875" bestFit="1" customWidth="1"/>
    <col min="4" max="4" width="82.140625" bestFit="1" customWidth="1"/>
  </cols>
  <sheetData>
    <row r="1" spans="1:4" ht="20.25" thickBot="1" x14ac:dyDescent="0.35">
      <c r="A1" s="1" t="s">
        <v>52</v>
      </c>
    </row>
    <row r="2" spans="1:4" ht="15.75" thickTop="1" x14ac:dyDescent="0.25"/>
    <row r="3" spans="1:4" x14ac:dyDescent="0.25">
      <c r="A3" t="s">
        <v>53</v>
      </c>
      <c r="B3" t="s">
        <v>54</v>
      </c>
      <c r="C3" t="s">
        <v>55</v>
      </c>
      <c r="D3" t="s">
        <v>56</v>
      </c>
    </row>
    <row r="4" spans="1:4" x14ac:dyDescent="0.25">
      <c r="A4">
        <v>1</v>
      </c>
      <c r="B4" t="s">
        <v>57</v>
      </c>
      <c r="C4" t="s">
        <v>60</v>
      </c>
      <c r="D4" t="s">
        <v>61</v>
      </c>
    </row>
    <row r="5" spans="1:4" x14ac:dyDescent="0.25">
      <c r="A5">
        <v>2</v>
      </c>
      <c r="B5" t="s">
        <v>58</v>
      </c>
      <c r="C5" t="s">
        <v>62</v>
      </c>
      <c r="D5" t="s">
        <v>63</v>
      </c>
    </row>
    <row r="6" spans="1:4" x14ac:dyDescent="0.25">
      <c r="A6">
        <v>3</v>
      </c>
      <c r="B6" t="s">
        <v>59</v>
      </c>
      <c r="C6" t="s">
        <v>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A8040-A57B-41B4-8D54-F2AFCA4EB39F}">
  <dimension ref="A1:J18"/>
  <sheetViews>
    <sheetView workbookViewId="0">
      <selection activeCell="I16" sqref="I3:I16"/>
    </sheetView>
  </sheetViews>
  <sheetFormatPr defaultRowHeight="15" x14ac:dyDescent="0.25"/>
  <cols>
    <col min="1" max="1" width="57.140625" bestFit="1" customWidth="1"/>
    <col min="2" max="2" width="18" bestFit="1" customWidth="1"/>
    <col min="3" max="3" width="11.7109375" bestFit="1" customWidth="1"/>
    <col min="4" max="4" width="12.7109375" bestFit="1" customWidth="1"/>
    <col min="5" max="5" width="8.28515625" customWidth="1"/>
    <col min="6" max="6" width="16.42578125" customWidth="1"/>
    <col min="7" max="8" width="13.140625" customWidth="1"/>
    <col min="9" max="9" width="11.28515625" bestFit="1" customWidth="1"/>
    <col min="10" max="10" width="64.85546875" customWidth="1"/>
  </cols>
  <sheetData>
    <row r="1" spans="1:10" ht="20.25" thickBot="1" x14ac:dyDescent="0.35">
      <c r="A1" s="1" t="s">
        <v>65</v>
      </c>
    </row>
    <row r="2" spans="1:10" ht="15.75" thickTop="1" x14ac:dyDescent="0.25"/>
    <row r="3" spans="1:10" x14ac:dyDescent="0.25">
      <c r="A3" t="s">
        <v>66</v>
      </c>
      <c r="B3" t="s">
        <v>67</v>
      </c>
      <c r="C3" t="s">
        <v>68</v>
      </c>
      <c r="D3" t="s">
        <v>69</v>
      </c>
      <c r="E3" t="s">
        <v>70</v>
      </c>
      <c r="F3" t="s">
        <v>71</v>
      </c>
      <c r="G3" t="s">
        <v>72</v>
      </c>
      <c r="H3" t="s">
        <v>211</v>
      </c>
      <c r="I3" t="s">
        <v>73</v>
      </c>
      <c r="J3" t="s">
        <v>74</v>
      </c>
    </row>
    <row r="4" spans="1:10" ht="30" x14ac:dyDescent="0.25">
      <c r="A4" t="s">
        <v>6</v>
      </c>
      <c r="B4" t="str" cm="1">
        <f t="array" ref="B4">_xlfn.XLOOKUP(A4,ICT_Data[[#All],[Series Name]],ICT_Data[[#All],[Series Code]])</f>
        <v>IT.NET.BBND</v>
      </c>
      <c r="C4" t="str" cm="1">
        <f t="array" ref="C4">_xlfn.XLOOKUP(TRUE, Raw_Data!E2:AC2&lt;&gt;"",ICT_Data[[#Headers],[2000]:[2024]], "none")</f>
        <v>2001</v>
      </c>
      <c r="D4" t="str" cm="1">
        <f t="array" ref="D4">_xlfn.XLOOKUP(TRUE, Raw_Data!E2:AC2&lt;&gt;"",ICT_Data[[#Headers],[2000]:[2024]], "none", 0, -1)</f>
        <v>2024</v>
      </c>
      <c r="E4">
        <f>COUNT(Raw_Data!E2:AC2)</f>
        <v>23</v>
      </c>
      <c r="F4">
        <f>COLUMNS(Raw_Data!E2:AC2)</f>
        <v>25</v>
      </c>
      <c r="G4" s="4">
        <f t="shared" ref="G4:G18" si="0">E4/F4</f>
        <v>0.92</v>
      </c>
      <c r="H4" s="4" t="s">
        <v>212</v>
      </c>
      <c r="I4" t="s">
        <v>101</v>
      </c>
      <c r="J4" s="5" t="s">
        <v>102</v>
      </c>
    </row>
    <row r="5" spans="1:10" ht="30" x14ac:dyDescent="0.25">
      <c r="A5" t="s">
        <v>8</v>
      </c>
      <c r="B5" t="str" cm="1">
        <f t="array" ref="B5">_xlfn.XLOOKUP(A5,ICT_Data[[#All],[Series Name]],ICT_Data[[#All],[Series Code]])</f>
        <v>IT.NET.BBND.P2</v>
      </c>
      <c r="C5" t="str" cm="1">
        <f t="array" ref="C5">_xlfn.XLOOKUP(TRUE, Raw_Data!E3:AC3&lt;&gt;"",ICT_Data[[#Headers],[2000]:[2024]], "none")</f>
        <v>2001</v>
      </c>
      <c r="D5" t="str" cm="1">
        <f t="array" ref="D5">_xlfn.XLOOKUP(TRUE, Raw_Data!E3:AC3&lt;&gt;"",ICT_Data[[#Headers],[2000]:[2024]], "none", 0, -1)</f>
        <v>2024</v>
      </c>
      <c r="E5">
        <f>COUNT(Raw_Data!E3:AC3)</f>
        <v>23</v>
      </c>
      <c r="F5">
        <f>COLUMNS(Raw_Data!E3:AC3)</f>
        <v>25</v>
      </c>
      <c r="G5" s="4">
        <f t="shared" si="0"/>
        <v>0.92</v>
      </c>
      <c r="H5" s="4" t="s">
        <v>212</v>
      </c>
      <c r="I5" t="s">
        <v>100</v>
      </c>
      <c r="J5" s="5" t="s">
        <v>209</v>
      </c>
    </row>
    <row r="6" spans="1:10" ht="30" x14ac:dyDescent="0.25">
      <c r="A6" t="s">
        <v>10</v>
      </c>
      <c r="B6" t="str" cm="1">
        <f t="array" ref="B6">_xlfn.XLOOKUP(A6,ICT_Data[[#All],[Series Name]],ICT_Data[[#All],[Series Code]])</f>
        <v>IT.MLT.MAIN</v>
      </c>
      <c r="C6" t="str" cm="1">
        <f t="array" ref="C6">_xlfn.XLOOKUP(TRUE, Raw_Data!E4:AC4&lt;&gt;"",ICT_Data[[#Headers],[2000]:[2024]], "none")</f>
        <v>2000</v>
      </c>
      <c r="D6" t="str" cm="1">
        <f t="array" ref="D6">_xlfn.XLOOKUP(TRUE, Raw_Data!E4:AC4&lt;&gt;"",ICT_Data[[#Headers],[2000]:[2024]], "none", 0, -1)</f>
        <v>2024</v>
      </c>
      <c r="E6">
        <f>COUNT(Raw_Data!E4:AC4)</f>
        <v>25</v>
      </c>
      <c r="F6">
        <f>COLUMNS(Raw_Data!E4:AC4)</f>
        <v>25</v>
      </c>
      <c r="G6" s="4">
        <f t="shared" si="0"/>
        <v>1</v>
      </c>
      <c r="H6" s="4" t="s">
        <v>212</v>
      </c>
      <c r="I6" t="s">
        <v>101</v>
      </c>
      <c r="J6" s="5" t="s">
        <v>102</v>
      </c>
    </row>
    <row r="7" spans="1:10" ht="45" x14ac:dyDescent="0.25">
      <c r="A7" t="s">
        <v>12</v>
      </c>
      <c r="B7" t="str" cm="1">
        <f t="array" ref="B7">_xlfn.XLOOKUP(A7,ICT_Data[[#All],[Series Name]],ICT_Data[[#All],[Series Code]])</f>
        <v>IT.MLT.MAIN.P2</v>
      </c>
      <c r="C7" t="str" cm="1">
        <f t="array" ref="C7">_xlfn.XLOOKUP(TRUE, Raw_Data!E5:AC5&lt;&gt;"",ICT_Data[[#Headers],[2000]:[2024]], "none")</f>
        <v>2000</v>
      </c>
      <c r="D7" t="str" cm="1">
        <f t="array" ref="D7">_xlfn.XLOOKUP(TRUE, Raw_Data!E5:AC5&lt;&gt;"",ICT_Data[[#Headers],[2000]:[2024]], "none", 0, -1)</f>
        <v>2024</v>
      </c>
      <c r="E7">
        <f>COUNT(Raw_Data!E5:AC5)</f>
        <v>25</v>
      </c>
      <c r="F7">
        <f>COLUMNS(Raw_Data!E5:AC5)</f>
        <v>25</v>
      </c>
      <c r="G7" s="4">
        <f t="shared" si="0"/>
        <v>1</v>
      </c>
      <c r="H7" s="4" t="s">
        <v>212</v>
      </c>
      <c r="I7" t="s">
        <v>100</v>
      </c>
      <c r="J7" s="5" t="s">
        <v>210</v>
      </c>
    </row>
    <row r="8" spans="1:10" x14ac:dyDescent="0.25">
      <c r="A8" t="s">
        <v>14</v>
      </c>
      <c r="B8" t="str" cm="1">
        <f t="array" ref="B8">_xlfn.XLOOKUP(A8,ICT_Data[[#All],[Series Name]],ICT_Data[[#All],[Series Code]])</f>
        <v>TX.VAL.ICTG.ZS.UN</v>
      </c>
      <c r="C8" t="str" cm="1">
        <f t="array" ref="C8">_xlfn.XLOOKUP(TRUE, Raw_Data!E6:AC6&lt;&gt;"",ICT_Data[[#Headers],[2000]:[2024]], "none")</f>
        <v>2000</v>
      </c>
      <c r="D8" t="str" cm="1">
        <f t="array" ref="D8">_xlfn.XLOOKUP(TRUE, Raw_Data!E6:AC6&lt;&gt;"",ICT_Data[[#Headers],[2000]:[2024]], "none", 0, -1)</f>
        <v>2024</v>
      </c>
      <c r="E8">
        <f>COUNT(Raw_Data!E6:AC6)</f>
        <v>25</v>
      </c>
      <c r="F8">
        <f>COLUMNS(Raw_Data!E6:AC6)</f>
        <v>25</v>
      </c>
      <c r="G8" s="4">
        <f t="shared" si="0"/>
        <v>1</v>
      </c>
      <c r="H8" s="4" t="s">
        <v>213</v>
      </c>
      <c r="I8" t="s">
        <v>100</v>
      </c>
      <c r="J8" s="5" t="s">
        <v>214</v>
      </c>
    </row>
    <row r="9" spans="1:10" x14ac:dyDescent="0.25">
      <c r="A9" t="s">
        <v>16</v>
      </c>
      <c r="B9" t="str" cm="1">
        <f t="array" ref="B9">_xlfn.XLOOKUP(A9,ICT_Data[[#All],[Series Name]],ICT_Data[[#All],[Series Code]])</f>
        <v>TM.VAL.ICTG.ZS.UN</v>
      </c>
      <c r="C9" t="str" cm="1">
        <f t="array" ref="C9">_xlfn.XLOOKUP(TRUE, Raw_Data!E7:AC7&lt;&gt;"",ICT_Data[[#Headers],[2000]:[2024]], "none")</f>
        <v>2000</v>
      </c>
      <c r="D9" t="str" cm="1">
        <f t="array" ref="D9">_xlfn.XLOOKUP(TRUE, Raw_Data!E7:AC7&lt;&gt;"",ICT_Data[[#Headers],[2000]:[2024]], "none", 0, -1)</f>
        <v>2024</v>
      </c>
      <c r="E9">
        <f>COUNT(Raw_Data!E7:AC7)</f>
        <v>25</v>
      </c>
      <c r="F9">
        <f>COLUMNS(Raw_Data!E7:AC7)</f>
        <v>25</v>
      </c>
      <c r="G9" s="4">
        <f t="shared" si="0"/>
        <v>1</v>
      </c>
      <c r="H9" s="4" t="s">
        <v>213</v>
      </c>
      <c r="I9" t="s">
        <v>100</v>
      </c>
      <c r="J9" s="5" t="s">
        <v>215</v>
      </c>
    </row>
    <row r="10" spans="1:10" ht="30" x14ac:dyDescent="0.25">
      <c r="A10" t="s">
        <v>18</v>
      </c>
      <c r="B10" t="str" cm="1">
        <f t="array" ref="B10">_xlfn.XLOOKUP(A10,ICT_Data[[#All],[Series Name]],ICT_Data[[#All],[Series Code]])</f>
        <v>BX.GSR.CCIS.ZS</v>
      </c>
      <c r="C10" t="str" cm="1">
        <f t="array" ref="C10">_xlfn.XLOOKUP(TRUE, Raw_Data!E8:AC8&lt;&gt;"",ICT_Data[[#Headers],[2000]:[2024]], "none")</f>
        <v>2000</v>
      </c>
      <c r="D10" t="str" cm="1">
        <f t="array" ref="D10">_xlfn.XLOOKUP(TRUE, Raw_Data!E8:AC8&lt;&gt;"",ICT_Data[[#Headers],[2000]:[2024]], "none", 0, -1)</f>
        <v>2024</v>
      </c>
      <c r="E10">
        <f>COUNT(Raw_Data!E8:AC8)</f>
        <v>25</v>
      </c>
      <c r="F10">
        <f>COLUMNS(Raw_Data!E8:AC8)</f>
        <v>25</v>
      </c>
      <c r="G10" s="4">
        <f t="shared" si="0"/>
        <v>1</v>
      </c>
      <c r="H10" s="4" t="s">
        <v>213</v>
      </c>
      <c r="I10" t="s">
        <v>100</v>
      </c>
      <c r="J10" s="5" t="s">
        <v>216</v>
      </c>
    </row>
    <row r="11" spans="1:10" ht="30" x14ac:dyDescent="0.25">
      <c r="A11" t="s">
        <v>20</v>
      </c>
      <c r="B11" t="str" cm="1">
        <f t="array" ref="B11">_xlfn.XLOOKUP(A11,ICT_Data[[#All],[Series Name]],ICT_Data[[#All],[Series Code]])</f>
        <v>BX.GSR.CCIS.CD</v>
      </c>
      <c r="C11" t="str" cm="1">
        <f t="array" ref="C11">_xlfn.XLOOKUP(TRUE, Raw_Data!E9:AC9&lt;&gt;"",ICT_Data[[#Headers],[2000]:[2024]], "none")</f>
        <v>2000</v>
      </c>
      <c r="D11" t="str" cm="1">
        <f t="array" ref="D11">_xlfn.XLOOKUP(TRUE, Raw_Data!E9:AC9&lt;&gt;"",ICT_Data[[#Headers],[2000]:[2024]], "none", 0, -1)</f>
        <v>2024</v>
      </c>
      <c r="E11">
        <f>COUNT(Raw_Data!E9:AC9)</f>
        <v>25</v>
      </c>
      <c r="F11">
        <f>COLUMNS(Raw_Data!E9:AC9)</f>
        <v>25</v>
      </c>
      <c r="G11" s="4">
        <f t="shared" si="0"/>
        <v>1</v>
      </c>
      <c r="H11" s="4" t="s">
        <v>213</v>
      </c>
      <c r="I11" t="s">
        <v>101</v>
      </c>
      <c r="J11" s="5" t="s">
        <v>217</v>
      </c>
    </row>
    <row r="12" spans="1:10" x14ac:dyDescent="0.25">
      <c r="A12" t="s">
        <v>22</v>
      </c>
      <c r="B12" t="str" cm="1">
        <f t="array" ref="B12">_xlfn.XLOOKUP(A12,ICT_Data[[#All],[Series Name]],ICT_Data[[#All],[Series Code]])</f>
        <v>IT.NET.USER.ZS</v>
      </c>
      <c r="C12" t="str" cm="1">
        <f t="array" ref="C12">_xlfn.XLOOKUP(TRUE, Raw_Data!E10:AC10&lt;&gt;"",ICT_Data[[#Headers],[2000]:[2024]], "none")</f>
        <v>2000</v>
      </c>
      <c r="D12" t="str" cm="1">
        <f t="array" ref="D12">_xlfn.XLOOKUP(TRUE, Raw_Data!E10:AC10&lt;&gt;"",ICT_Data[[#Headers],[2000]:[2024]], "none", 0, -1)</f>
        <v>2024</v>
      </c>
      <c r="E12">
        <f>COUNT(Raw_Data!E10:AC10)</f>
        <v>25</v>
      </c>
      <c r="F12">
        <f>COLUMNS(Raw_Data!E10:AC10)</f>
        <v>25</v>
      </c>
      <c r="G12" s="4">
        <f t="shared" si="0"/>
        <v>1</v>
      </c>
      <c r="H12" s="4" t="s">
        <v>212</v>
      </c>
      <c r="I12" t="s">
        <v>100</v>
      </c>
      <c r="J12" s="5" t="s">
        <v>207</v>
      </c>
    </row>
    <row r="13" spans="1:10" x14ac:dyDescent="0.25">
      <c r="A13" t="s">
        <v>24</v>
      </c>
      <c r="B13" t="str" cm="1">
        <f t="array" ref="B13">_xlfn.XLOOKUP(A13,ICT_Data[[#All],[Series Name]],ICT_Data[[#All],[Series Code]])</f>
        <v>IT.NET.USER.FE.ZS</v>
      </c>
      <c r="C13" t="str" cm="1">
        <f t="array" ref="C13">_xlfn.XLOOKUP(TRUE, Raw_Data!E11:AC11&lt;&gt;"",ICT_Data[[#Headers],[2000]:[2024]], "none")</f>
        <v>2022</v>
      </c>
      <c r="D13" t="str" cm="1">
        <f t="array" ref="D13">_xlfn.XLOOKUP(TRUE, Raw_Data!E11:AC11&lt;&gt;"",ICT_Data[[#Headers],[2000]:[2024]], "none", 0, -1)</f>
        <v>2024</v>
      </c>
      <c r="E13">
        <f>COUNT(Raw_Data!E11:AC11)</f>
        <v>2</v>
      </c>
      <c r="F13">
        <f>COLUMNS(Raw_Data!E11:AC11)</f>
        <v>25</v>
      </c>
      <c r="G13" s="4">
        <f t="shared" si="0"/>
        <v>0.08</v>
      </c>
      <c r="H13" s="4" t="s">
        <v>212</v>
      </c>
      <c r="I13" t="s">
        <v>101</v>
      </c>
      <c r="J13" s="5" t="s">
        <v>205</v>
      </c>
    </row>
    <row r="14" spans="1:10" x14ac:dyDescent="0.25">
      <c r="A14" t="s">
        <v>26</v>
      </c>
      <c r="B14" t="str" cm="1">
        <f t="array" ref="B14">_xlfn.XLOOKUP(A14,ICT_Data[[#All],[Series Name]],ICT_Data[[#All],[Series Code]])</f>
        <v>IT.NET.USER.MA.ZS</v>
      </c>
      <c r="C14" t="str" cm="1">
        <f t="array" ref="C14">_xlfn.XLOOKUP(TRUE, Raw_Data!E12:AC12&lt;&gt;"",ICT_Data[[#Headers],[2000]:[2024]], "none")</f>
        <v>2022</v>
      </c>
      <c r="D14" t="str" cm="1">
        <f t="array" ref="D14">_xlfn.XLOOKUP(TRUE, Raw_Data!E12:AC12&lt;&gt;"",ICT_Data[[#Headers],[2000]:[2024]], "none", 0, -1)</f>
        <v>2024</v>
      </c>
      <c r="E14">
        <f>COUNT(Raw_Data!E12:AC12)</f>
        <v>2</v>
      </c>
      <c r="F14">
        <f>COLUMNS(Raw_Data!E12:AC12)</f>
        <v>25</v>
      </c>
      <c r="G14" s="4">
        <f t="shared" si="0"/>
        <v>0.08</v>
      </c>
      <c r="H14" s="4" t="s">
        <v>212</v>
      </c>
      <c r="I14" t="s">
        <v>101</v>
      </c>
      <c r="J14" s="5" t="s">
        <v>205</v>
      </c>
    </row>
    <row r="15" spans="1:10" ht="30" x14ac:dyDescent="0.25">
      <c r="A15" t="s">
        <v>28</v>
      </c>
      <c r="B15" t="str" cm="1">
        <f t="array" ref="B15">_xlfn.XLOOKUP(A15,ICT_Data[[#All],[Series Name]],ICT_Data[[#All],[Series Code]])</f>
        <v>IT.CEL.SETS</v>
      </c>
      <c r="C15" t="str" cm="1">
        <f t="array" ref="C15">_xlfn.XLOOKUP(TRUE, Raw_Data!E13:AC13&lt;&gt;"",ICT_Data[[#Headers],[2000]:[2024]], "none")</f>
        <v>2000</v>
      </c>
      <c r="D15" t="str" cm="1">
        <f t="array" ref="D15">_xlfn.XLOOKUP(TRUE, Raw_Data!E13:AC13&lt;&gt;"",ICT_Data[[#Headers],[2000]:[2024]], "none", 0, -1)</f>
        <v>2024</v>
      </c>
      <c r="E15">
        <f>COUNT(Raw_Data!E13:AC13)</f>
        <v>25</v>
      </c>
      <c r="F15">
        <f>COLUMNS(Raw_Data!E13:AC13)</f>
        <v>25</v>
      </c>
      <c r="G15" s="4">
        <f t="shared" si="0"/>
        <v>1</v>
      </c>
      <c r="H15" s="4" t="s">
        <v>212</v>
      </c>
      <c r="I15" t="s">
        <v>101</v>
      </c>
      <c r="J15" s="5" t="s">
        <v>102</v>
      </c>
    </row>
    <row r="16" spans="1:10" x14ac:dyDescent="0.25">
      <c r="A16" t="s">
        <v>30</v>
      </c>
      <c r="B16" t="str" cm="1">
        <f t="array" ref="B16">_xlfn.XLOOKUP(A16,ICT_Data[[#All],[Series Name]],ICT_Data[[#All],[Series Code]])</f>
        <v>IT.CEL.SETS.P2</v>
      </c>
      <c r="C16" t="str" cm="1">
        <f t="array" ref="C16">_xlfn.XLOOKUP(TRUE, Raw_Data!E14:AC14&lt;&gt;"",ICT_Data[[#Headers],[2000]:[2024]], "none")</f>
        <v>2000</v>
      </c>
      <c r="D16" t="str" cm="1">
        <f t="array" ref="D16">_xlfn.XLOOKUP(TRUE, Raw_Data!E14:AC14&lt;&gt;"",ICT_Data[[#Headers],[2000]:[2024]], "none", 0, -1)</f>
        <v>2024</v>
      </c>
      <c r="E16">
        <f>COUNT(Raw_Data!E14:AC14)</f>
        <v>25</v>
      </c>
      <c r="F16">
        <f>COLUMNS(Raw_Data!E14:AC14)</f>
        <v>25</v>
      </c>
      <c r="G16" s="4">
        <f t="shared" si="0"/>
        <v>1</v>
      </c>
      <c r="H16" s="4" t="s">
        <v>212</v>
      </c>
      <c r="I16" t="s">
        <v>100</v>
      </c>
      <c r="J16" s="5" t="s">
        <v>208</v>
      </c>
    </row>
    <row r="17" spans="1:10" ht="45" x14ac:dyDescent="0.25">
      <c r="A17" t="s">
        <v>32</v>
      </c>
      <c r="B17" t="str" cm="1">
        <f t="array" ref="B17">_xlfn.XLOOKUP(A17,ICT_Data[[#All],[Series Name]],ICT_Data[[#All],[Series Code]])</f>
        <v>IT.NET.SECR</v>
      </c>
      <c r="C17" t="str" cm="1">
        <f t="array" ref="C17">_xlfn.XLOOKUP(TRUE, Raw_Data!E15:AC15&lt;&gt;"",ICT_Data[[#Headers],[2000]:[2024]], "none")</f>
        <v>2010</v>
      </c>
      <c r="D17" t="str" cm="1">
        <f t="array" ref="D17">_xlfn.XLOOKUP(TRUE, Raw_Data!E15:AC15&lt;&gt;"",ICT_Data[[#Headers],[2000]:[2024]], "none", 0, -1)</f>
        <v>2024</v>
      </c>
      <c r="E17">
        <f>COUNT(Raw_Data!E15:AC15)</f>
        <v>15</v>
      </c>
      <c r="F17">
        <f>COLUMNS(Raw_Data!E15:AC15)</f>
        <v>25</v>
      </c>
      <c r="G17" s="4">
        <f t="shared" si="0"/>
        <v>0.6</v>
      </c>
      <c r="H17" s="4" t="s">
        <v>212</v>
      </c>
      <c r="I17" t="s">
        <v>101</v>
      </c>
      <c r="J17" s="5" t="s">
        <v>206</v>
      </c>
    </row>
    <row r="18" spans="1:10" ht="45" x14ac:dyDescent="0.25">
      <c r="A18" t="s">
        <v>34</v>
      </c>
      <c r="B18" t="str" cm="1">
        <f t="array" ref="B18">_xlfn.XLOOKUP(A18,ICT_Data[[#All],[Series Name]],ICT_Data[[#All],[Series Code]])</f>
        <v>IT.NET.SECR.P6</v>
      </c>
      <c r="C18" t="str" cm="1">
        <f t="array" ref="C18">_xlfn.XLOOKUP(TRUE, Raw_Data!E16:AC16&lt;&gt;"",ICT_Data[[#Headers],[2000]:[2024]], "none")</f>
        <v>2010</v>
      </c>
      <c r="D18" t="str" cm="1">
        <f t="array" ref="D18">_xlfn.XLOOKUP(TRUE, Raw_Data!E16:AC16&lt;&gt;"",ICT_Data[[#Headers],[2000]:[2024]], "none", 0, -1)</f>
        <v>2024</v>
      </c>
      <c r="E18">
        <f>COUNT(Raw_Data!E16:AC16)</f>
        <v>15</v>
      </c>
      <c r="F18">
        <f>COLUMNS(Raw_Data!E16:AC16)</f>
        <v>25</v>
      </c>
      <c r="G18" s="4">
        <f t="shared" si="0"/>
        <v>0.6</v>
      </c>
      <c r="H18" s="4" t="s">
        <v>212</v>
      </c>
      <c r="I18" t="s">
        <v>101</v>
      </c>
      <c r="J18" s="5" t="s">
        <v>206</v>
      </c>
    </row>
  </sheetData>
  <dataValidations count="1">
    <dataValidation type="list" allowBlank="1" showInputMessage="1" showErrorMessage="1" sqref="I4:I18" xr:uid="{4C5CBBBF-B192-4A19-8514-FE14A4816190}">
      <formula1>"Keep, Remove"</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91875-7082-44AE-8CB0-095B8B5E2069}">
  <dimension ref="A1:E14"/>
  <sheetViews>
    <sheetView workbookViewId="0">
      <selection activeCell="E21" sqref="E21"/>
    </sheetView>
  </sheetViews>
  <sheetFormatPr defaultRowHeight="15" x14ac:dyDescent="0.25"/>
  <cols>
    <col min="1" max="1" width="20" bestFit="1" customWidth="1"/>
    <col min="2" max="2" width="51" bestFit="1" customWidth="1"/>
    <col min="3" max="3" width="9.85546875" bestFit="1" customWidth="1"/>
    <col min="4" max="4" width="29" bestFit="1" customWidth="1"/>
    <col min="5" max="5" width="42.5703125" bestFit="1" customWidth="1"/>
  </cols>
  <sheetData>
    <row r="1" spans="1:5" ht="20.25" thickBot="1" x14ac:dyDescent="0.35">
      <c r="A1" s="18" t="s">
        <v>117</v>
      </c>
    </row>
    <row r="2" spans="1:5" ht="12" customHeight="1" thickTop="1" thickBot="1" x14ac:dyDescent="0.3"/>
    <row r="3" spans="1:5" ht="15.75" thickBot="1" x14ac:dyDescent="0.3">
      <c r="A3" s="12" t="s">
        <v>103</v>
      </c>
      <c r="B3" s="13" t="s">
        <v>41</v>
      </c>
      <c r="C3" s="13" t="s">
        <v>104</v>
      </c>
      <c r="D3" s="13" t="s">
        <v>105</v>
      </c>
      <c r="E3" s="13" t="s">
        <v>106</v>
      </c>
    </row>
    <row r="4" spans="1:5" ht="16.5" thickTop="1" thickBot="1" x14ac:dyDescent="0.3">
      <c r="A4" s="7" t="s">
        <v>0</v>
      </c>
      <c r="B4" s="8" t="s">
        <v>107</v>
      </c>
      <c r="C4" s="8" t="s">
        <v>113</v>
      </c>
      <c r="D4" s="8" t="str" cm="1">
        <f t="array" ref="D4">_xlfn.LET(_xlpm.col, INDEX(ICT_Data[],0,MATCH(A4,ICT_Data[#Headers],0)),_xlfn.XLOOKUP("*",_xlpm.col,_xlpm.col,"",2))</f>
        <v>Philippines</v>
      </c>
      <c r="E4" s="8" t="s">
        <v>115</v>
      </c>
    </row>
    <row r="5" spans="1:5" ht="16.5" thickTop="1" thickBot="1" x14ac:dyDescent="0.3">
      <c r="A5" s="9" t="s">
        <v>1</v>
      </c>
      <c r="B5" s="10" t="s">
        <v>108</v>
      </c>
      <c r="C5" s="10" t="s">
        <v>113</v>
      </c>
      <c r="D5" s="10" t="str" cm="1">
        <f t="array" ref="D5">_xlfn.LET(_xlpm.col, INDEX(ICT_Data[],0,MATCH(A5,ICT_Data[#Headers],0)),_xlfn.XLOOKUP("*",_xlpm.col,_xlpm.col,"",2))</f>
        <v>PHL</v>
      </c>
      <c r="E5" s="8" t="s">
        <v>115</v>
      </c>
    </row>
    <row r="6" spans="1:5" ht="16.5" thickTop="1" thickBot="1" x14ac:dyDescent="0.3">
      <c r="A6" s="11" t="s">
        <v>2</v>
      </c>
      <c r="B6" s="6" t="s">
        <v>109</v>
      </c>
      <c r="C6" s="6" t="s">
        <v>113</v>
      </c>
      <c r="D6" s="6" t="str" cm="1">
        <f t="array" ref="D6">_xlfn.LET(_xlpm.col, INDEX(ICT_Data[],0,MATCH(A6,ICT_Data[#Headers],0)),_xlfn.XLOOKUP("*",_xlpm.col,_xlpm.col,"",2))</f>
        <v>Fixed broadband subscriptions</v>
      </c>
      <c r="E6" s="8" t="s">
        <v>115</v>
      </c>
    </row>
    <row r="7" spans="1:5" ht="15.75" thickTop="1" x14ac:dyDescent="0.25">
      <c r="A7" s="9" t="s">
        <v>3</v>
      </c>
      <c r="B7" s="17" t="s">
        <v>110</v>
      </c>
      <c r="C7" s="10" t="s">
        <v>113</v>
      </c>
      <c r="D7" s="10" t="str" cm="1">
        <f t="array" ref="D7">_xlfn.LET(_xlpm.col, INDEX(ICT_Data[],0,MATCH(A7,ICT_Data[#Headers],0)),_xlfn.XLOOKUP("*",_xlpm.col,_xlpm.col,"",2))</f>
        <v>IT.NET.BBND</v>
      </c>
      <c r="E7" s="8" t="s">
        <v>115</v>
      </c>
    </row>
    <row r="8" spans="1:5" ht="15.75" thickBot="1" x14ac:dyDescent="0.3">
      <c r="A8" s="14" t="s">
        <v>111</v>
      </c>
      <c r="B8" s="16" t="s">
        <v>112</v>
      </c>
      <c r="C8" s="15" t="s">
        <v>114</v>
      </c>
      <c r="D8" s="15" cm="1">
        <f t="array" ref="D8">INDEX(_xlfn._xlws.FILTER(_xlfn.TOCOL(ICT_Data[2000]:ICT_Data[2024]),_xlfn.TOCOL(ICT_Data[2000]:ICT_Data[2024])&lt;&gt;""), 1)</f>
        <v>10000</v>
      </c>
      <c r="E8" s="15" t="s">
        <v>116</v>
      </c>
    </row>
    <row r="14" spans="1:5" x14ac:dyDescent="0.25">
      <c r="B14"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F88F6-551B-4CF4-9881-F2192E760984}">
  <dimension ref="A1:F10"/>
  <sheetViews>
    <sheetView workbookViewId="0">
      <selection activeCell="D9" sqref="D9"/>
    </sheetView>
  </sheetViews>
  <sheetFormatPr defaultRowHeight="15" x14ac:dyDescent="0.25"/>
  <cols>
    <col min="1" max="1" width="18.7109375" bestFit="1" customWidth="1"/>
    <col min="2" max="2" width="57.140625" bestFit="1" customWidth="1"/>
    <col min="3" max="3" width="11.5703125" bestFit="1" customWidth="1"/>
    <col min="4" max="4" width="154.42578125" customWidth="1"/>
    <col min="5" max="5" width="11.7109375" bestFit="1" customWidth="1"/>
    <col min="6" max="6" width="11.42578125" bestFit="1" customWidth="1"/>
  </cols>
  <sheetData>
    <row r="1" spans="1:6" ht="20.25" thickBot="1" x14ac:dyDescent="0.35">
      <c r="A1" s="1" t="s">
        <v>118</v>
      </c>
    </row>
    <row r="2" spans="1:6" ht="15.75" thickTop="1" x14ac:dyDescent="0.25"/>
    <row r="3" spans="1:6" x14ac:dyDescent="0.25">
      <c r="A3" t="s">
        <v>67</v>
      </c>
      <c r="B3" t="s">
        <v>119</v>
      </c>
      <c r="C3" t="s">
        <v>211</v>
      </c>
      <c r="D3" t="s">
        <v>120</v>
      </c>
      <c r="E3" t="s">
        <v>68</v>
      </c>
      <c r="F3" t="s">
        <v>69</v>
      </c>
    </row>
    <row r="4" spans="1:6" ht="75" x14ac:dyDescent="0.25">
      <c r="A4" t="str" cm="1">
        <f t="array" ref="A4">IFERROR(INDEX(Screening[Indicator Code], SMALL(IF(Screening[Decision]="Keep", ROW(Screening[Indicator Code])-ROW(Screening[#Headers])), ROW(A1))), "")</f>
        <v>IT.NET.BBND.P2</v>
      </c>
      <c r="B4" s="21" t="str">
        <f>_xlfn.XLOOKUP(A4,ICT_Data[Series Code],ICT_Data[Series Name])</f>
        <v>Fixed broadband subscriptions (per 100 people)</v>
      </c>
      <c r="C4" t="str">
        <f>_xlfn.XLOOKUP(Indicator_Dictionary[[#This Row],[Indicator Code]],Screening[Indicator Code],Screening[Group])</f>
        <v>Connectivity</v>
      </c>
      <c r="D4" s="5" t="str">
        <f>_xlfn.XLOOKUP(Indicator_Dictionary[[#This Row],[Indicator Name]],ICT_Description[Indicator Name],ICT_Description[Long definition])</f>
        <v>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v>
      </c>
      <c r="E4" t="str" cm="1">
        <f t="array" ref="E4">_xlfn.XLOOKUP(TRUE, Raw_Data!E2:AC2&lt;&gt;"",ICT_Data[[#Headers],[2000]:[2024]], "none")</f>
        <v>2001</v>
      </c>
      <c r="F4" t="str" cm="1">
        <f t="array" ref="F4">_xlfn.XLOOKUP(TRUE, Raw_Data!E2:AC2&lt;&gt;"",ICT_Data[[#Headers],[2000]:[2024]], "none", 0, -1)</f>
        <v>2024</v>
      </c>
    </row>
    <row r="5" spans="1:6" ht="30" x14ac:dyDescent="0.25">
      <c r="A5" t="str" cm="1">
        <f t="array" ref="A5">IFERROR(INDEX(Screening[Indicator Code], SMALL(IF(Screening[Decision]="Keep", ROW(Screening[Indicator Code])-ROW(Screening[#Headers])), ROW(A2))), "")</f>
        <v>IT.MLT.MAIN.P2</v>
      </c>
      <c r="B5" s="21" t="str">
        <f>_xlfn.XLOOKUP(A5,ICT_Data[Series Code],ICT_Data[Series Name])</f>
        <v>Fixed telephone subscriptions (per 100 people)</v>
      </c>
      <c r="C5" t="str">
        <f>_xlfn.XLOOKUP(Indicator_Dictionary[[#This Row],[Indicator Code]],Screening[Indicator Code],Screening[Group])</f>
        <v>Connectivity</v>
      </c>
      <c r="D5" s="5" t="str">
        <f>_xlfn.XLOOKUP(Indicator_Dictionary[[#This Row],[Indicator Name]],ICT_Description[Indicator Name],ICT_Description[Long definition])</f>
        <v>Fixed telephone subscriptions refers to the sum of active number of analogue fixed telephone lines, voice-over-IP (VoIP) subscriptions, fixed wireless local loop (WLL) subscriptions, ISDN voice-channel equivalents and fixed public payphones.</v>
      </c>
      <c r="E5" t="str" cm="1">
        <f t="array" ref="E5">_xlfn.XLOOKUP(TRUE, Raw_Data!E3:AC3&lt;&gt;"",ICT_Data[[#Headers],[2000]:[2024]], "none")</f>
        <v>2001</v>
      </c>
      <c r="F5" t="str" cm="1">
        <f t="array" ref="F5">_xlfn.XLOOKUP(TRUE, Raw_Data!E3:AC3&lt;&gt;"",ICT_Data[[#Headers],[2000]:[2024]], "none", 0, -1)</f>
        <v>2024</v>
      </c>
    </row>
    <row r="6" spans="1:6" ht="30" x14ac:dyDescent="0.25">
      <c r="A6" t="str" cm="1">
        <f t="array" ref="A6">IFERROR(INDEX(Screening[Indicator Code], SMALL(IF(Screening[Decision]="Keep", ROW(Screening[Indicator Code])-ROW(Screening[#Headers])), ROW(A3))), "")</f>
        <v>TX.VAL.ICTG.ZS.UN</v>
      </c>
      <c r="B6" s="21" t="str">
        <f>_xlfn.XLOOKUP(A6,ICT_Data[Series Code],ICT_Data[Series Name])</f>
        <v>ICT goods exports (% of total goods exports)</v>
      </c>
      <c r="C6" t="str">
        <f>_xlfn.XLOOKUP(Indicator_Dictionary[[#This Row],[Indicator Code]],Screening[Indicator Code],Screening[Group])</f>
        <v>Trade</v>
      </c>
      <c r="D6" s="5" t="str">
        <f>_xlfn.XLOOKUP(Indicator_Dictionary[[#This Row],[Indicator Name]],ICT_Description[Indicator Name],ICT_Description[Long definition])</f>
        <v>Information and communication technology goods exports include computers and peripheral equipment, communication equipment, consumer electronic equipment, electronic components, and other information and technology goods (miscellaneous).</v>
      </c>
      <c r="E6" t="str" cm="1">
        <f t="array" ref="E6">_xlfn.XLOOKUP(TRUE, Raw_Data!E4:AC4&lt;&gt;"",ICT_Data[[#Headers],[2000]:[2024]], "none")</f>
        <v>2000</v>
      </c>
      <c r="F6" t="str" cm="1">
        <f t="array" ref="F6">_xlfn.XLOOKUP(TRUE, Raw_Data!E4:AC4&lt;&gt;"",ICT_Data[[#Headers],[2000]:[2024]], "none", 0, -1)</f>
        <v>2024</v>
      </c>
    </row>
    <row r="7" spans="1:6" ht="30" x14ac:dyDescent="0.25">
      <c r="A7" t="str" cm="1">
        <f t="array" ref="A7">IFERROR(INDEX(Screening[Indicator Code], SMALL(IF(Screening[Decision]="Keep", ROW(Screening[Indicator Code])-ROW(Screening[#Headers])), ROW(A4))), "")</f>
        <v>TM.VAL.ICTG.ZS.UN</v>
      </c>
      <c r="B7" s="21" t="str">
        <f>_xlfn.XLOOKUP(A7,ICT_Data[Series Code],ICT_Data[Series Name])</f>
        <v>ICT goods imports (% total goods imports)</v>
      </c>
      <c r="C7" t="str">
        <f>_xlfn.XLOOKUP(Indicator_Dictionary[[#This Row],[Indicator Code]],Screening[Indicator Code],Screening[Group])</f>
        <v>Trade</v>
      </c>
      <c r="D7" s="5" t="str">
        <f>_xlfn.XLOOKUP(Indicator_Dictionary[[#This Row],[Indicator Name]],ICT_Description[Indicator Name],ICT_Description[Long definition])</f>
        <v>Information and communication technology goods imports include computers and peripheral equipment, communication equipment, consumer electronic equipment, electronic components, and other information and technology goods (miscellaneous).</v>
      </c>
      <c r="E7" t="str" cm="1">
        <f t="array" ref="E7">_xlfn.XLOOKUP(TRUE, Raw_Data!E5:AC5&lt;&gt;"",ICT_Data[[#Headers],[2000]:[2024]], "none")</f>
        <v>2000</v>
      </c>
      <c r="F7" t="str" cm="1">
        <f t="array" ref="F7">_xlfn.XLOOKUP(TRUE, Raw_Data!E5:AC5&lt;&gt;"",ICT_Data[[#Headers],[2000]:[2024]], "none", 0, -1)</f>
        <v>2024</v>
      </c>
    </row>
    <row r="8" spans="1:6" ht="30" x14ac:dyDescent="0.25">
      <c r="A8" t="str" cm="1">
        <f t="array" ref="A8">IFERROR(INDEX(Screening[Indicator Code], SMALL(IF(Screening[Decision]="Keep", ROW(Screening[Indicator Code])-ROW(Screening[#Headers])), ROW(A5))), "")</f>
        <v>BX.GSR.CCIS.ZS</v>
      </c>
      <c r="B8" s="21" t="str">
        <f>_xlfn.XLOOKUP(A8,ICT_Data[Series Code],ICT_Data[Series Name])</f>
        <v>ICT service exports (% of service exports, BoP)</v>
      </c>
      <c r="C8" t="str">
        <f>_xlfn.XLOOKUP(Indicator_Dictionary[[#This Row],[Indicator Code]],Screening[Indicator Code],Screening[Group])</f>
        <v>Trade</v>
      </c>
      <c r="D8" s="5" t="str">
        <f>_xlfn.XLOOKUP(Indicator_Dictionary[[#This Row],[Indicator Name]],ICT_Description[Indicator Name],ICT_Description[Long definition])</f>
        <v>Information and communication technology service exports include computer and communications services (telecommunications and postal and courier services) and information services (computer data and news-related service transactions).</v>
      </c>
      <c r="E8" t="str" cm="1">
        <f t="array" ref="E8">_xlfn.XLOOKUP(TRUE, Raw_Data!E6:AC6&lt;&gt;"",ICT_Data[[#Headers],[2000]:[2024]], "none")</f>
        <v>2000</v>
      </c>
      <c r="F8" t="str" cm="1">
        <f t="array" ref="F8">_xlfn.XLOOKUP(TRUE, Raw_Data!E6:AC6&lt;&gt;"",ICT_Data[[#Headers],[2000]:[2024]], "none", 0, -1)</f>
        <v>2024</v>
      </c>
    </row>
    <row r="9" spans="1:6" ht="30" x14ac:dyDescent="0.25">
      <c r="A9" t="str" cm="1">
        <f t="array" ref="A9">IFERROR(INDEX(Screening[Indicator Code], SMALL(IF(Screening[Decision]="Keep", ROW(Screening[Indicator Code])-ROW(Screening[#Headers])), ROW(A6))), "")</f>
        <v>IT.NET.USER.ZS</v>
      </c>
      <c r="B9" s="21" t="str">
        <f>_xlfn.XLOOKUP(A9,ICT_Data[Series Code],ICT_Data[Series Name])</f>
        <v>Individuals using the Internet (% of population)</v>
      </c>
      <c r="C9" t="str">
        <f>_xlfn.XLOOKUP(Indicator_Dictionary[[#This Row],[Indicator Code]],Screening[Indicator Code],Screening[Group])</f>
        <v>Connectivity</v>
      </c>
      <c r="D9" s="5" t="str">
        <f>_xlfn.XLOOKUP(Indicator_Dictionary[[#This Row],[Indicator Name]],ICT_Description[Indicator Name],ICT_Description[Long definition])</f>
        <v>Internet users are individuals who have used the Internet (from any location) in the last 3 months. The Internet can be used via a computer, mobile phone, personal digital assistant, games machine, digital TV etc.</v>
      </c>
      <c r="E9" t="str" cm="1">
        <f t="array" ref="E9">_xlfn.XLOOKUP(TRUE, Raw_Data!E7:AC7&lt;&gt;"",ICT_Data[[#Headers],[2000]:[2024]], "none")</f>
        <v>2000</v>
      </c>
      <c r="F9" t="str" cm="1">
        <f t="array" ref="F9">_xlfn.XLOOKUP(TRUE, Raw_Data!E7:AC7&lt;&gt;"",ICT_Data[[#Headers],[2000]:[2024]], "none", 0, -1)</f>
        <v>2024</v>
      </c>
    </row>
    <row r="10" spans="1:6" ht="60" x14ac:dyDescent="0.25">
      <c r="A10" t="str" cm="1">
        <f t="array" ref="A10">IFERROR(INDEX(Screening[Indicator Code], SMALL(IF(Screening[Decision]="Keep", ROW(Screening[Indicator Code])-ROW(Screening[#Headers])), ROW(A7))), "")</f>
        <v>IT.CEL.SETS.P2</v>
      </c>
      <c r="B10" s="21" t="str">
        <f>_xlfn.XLOOKUP(A10,ICT_Data[Series Code],ICT_Data[Series Name])</f>
        <v>Mobile cellular subscriptions (per 100 people)</v>
      </c>
      <c r="C10" t="str">
        <f>_xlfn.XLOOKUP(Indicator_Dictionary[[#This Row],[Indicator Code]],Screening[Indicator Code],Screening[Group])</f>
        <v>Connectivity</v>
      </c>
      <c r="D10" s="5" t="str">
        <f>_xlfn.XLOOKUP(Indicator_Dictionary[[#This Row],[Indicator Name]],ICT_Description[Indicator Name],ICT_Description[Long definition])</f>
        <v>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v>
      </c>
      <c r="E10" t="str" cm="1">
        <f t="array" ref="E10">_xlfn.XLOOKUP(TRUE, Raw_Data!E8:AC8&lt;&gt;"",ICT_Data[[#Headers],[2000]:[2024]], "none")</f>
        <v>2000</v>
      </c>
      <c r="F10" t="str" cm="1">
        <f t="array" ref="F10">_xlfn.XLOOKUP(TRUE, Raw_Data!E8:AC8&lt;&gt;"",ICT_Data[[#Headers],[2000]:[2024]], "none", 0, -1)</f>
        <v>2024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87109F-BA43-49CF-A89C-374397FB09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Data_Description</vt:lpstr>
      <vt:lpstr>About</vt:lpstr>
      <vt:lpstr>Screening_Rules</vt:lpstr>
      <vt:lpstr>Indicator_Screening</vt:lpstr>
      <vt:lpstr>Data_Dictionary</vt:lpstr>
      <vt:lpstr>Indicator_Dictionary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 Kim Tayamora</dc:creator>
  <cp:lastModifiedBy>Russel Kim Tayamora</cp:lastModifiedBy>
  <dcterms:created xsi:type="dcterms:W3CDTF">2026-10-08T03:15:33Z</dcterms:created>
  <dcterms:modified xsi:type="dcterms:W3CDTF">2026-10-12T03:39:05Z</dcterms:modified>
</cp:coreProperties>
</file>